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6D393E74-3AA0-4329-ACDD-C774DD85A549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10" l="1"/>
  <c r="G33" i="10"/>
  <c r="C33" i="10"/>
  <c r="J32" i="10"/>
  <c r="G32" i="10"/>
  <c r="C32" i="10"/>
  <c r="J31" i="10"/>
  <c r="G31" i="10"/>
  <c r="C31" i="10"/>
  <c r="J30" i="10"/>
  <c r="G30" i="10"/>
  <c r="C30" i="10"/>
  <c r="J29" i="10"/>
  <c r="G29" i="10"/>
  <c r="C29" i="10"/>
  <c r="J28" i="10"/>
  <c r="G28" i="10"/>
  <c r="C28" i="10"/>
  <c r="J27" i="10"/>
  <c r="G27" i="10"/>
  <c r="C27" i="10"/>
  <c r="J26" i="10"/>
  <c r="G26" i="10"/>
  <c r="C26" i="10"/>
  <c r="J25" i="10"/>
  <c r="G25" i="10"/>
  <c r="C25" i="10"/>
  <c r="J24" i="10"/>
  <c r="G24" i="10"/>
  <c r="C24" i="10"/>
  <c r="J23" i="10"/>
  <c r="G23" i="10"/>
  <c r="C23" i="10"/>
  <c r="J22" i="10"/>
  <c r="G22" i="10"/>
  <c r="C22" i="10"/>
  <c r="J21" i="10"/>
  <c r="G21" i="10"/>
  <c r="C21" i="10"/>
  <c r="C2" i="10"/>
  <c r="C3" i="10"/>
  <c r="C4" i="10"/>
  <c r="C5" i="10"/>
  <c r="C6" i="10"/>
  <c r="C7" i="10"/>
  <c r="C11" i="10"/>
  <c r="C8" i="10"/>
  <c r="C9" i="10"/>
  <c r="C10" i="10"/>
  <c r="C12" i="10"/>
  <c r="C13" i="10"/>
  <c r="C14" i="10"/>
  <c r="C15" i="10"/>
  <c r="C17" i="10"/>
  <c r="C18" i="10"/>
  <c r="C19" i="10"/>
  <c r="C16" i="10"/>
  <c r="C20" i="10"/>
  <c r="J15" i="10"/>
  <c r="G15" i="10"/>
  <c r="J5" i="10"/>
  <c r="G5" i="10"/>
  <c r="J10" i="10"/>
  <c r="G10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9" i="10"/>
  <c r="J9" i="10"/>
  <c r="G6" i="10"/>
  <c r="J6" i="10"/>
  <c r="G7" i="10"/>
  <c r="J7" i="10"/>
  <c r="G8" i="10"/>
  <c r="J8" i="10"/>
  <c r="G12" i="10"/>
  <c r="J12" i="10"/>
  <c r="G13" i="10"/>
  <c r="J13" i="10"/>
  <c r="G17" i="10"/>
  <c r="J17" i="10"/>
  <c r="G11" i="10"/>
  <c r="J11" i="10"/>
  <c r="G14" i="10"/>
  <c r="J14" i="10"/>
  <c r="G19" i="10"/>
  <c r="J19" i="10"/>
  <c r="G20" i="10"/>
  <c r="J20" i="10"/>
  <c r="G18" i="10"/>
  <c r="J18" i="10"/>
  <c r="G16" i="10"/>
  <c r="J16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<sst xmlns="http://schemas.openxmlformats.org/spreadsheetml/2006/main" count="111" uniqueCount="66">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</sst>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7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/>
    <xf numFmtId="0" fontId="4" fillId="193" borderId="0" xfId="0" applyFont="1" applyFill="1" applyAlignment="1">
      <alignment horizontal="center"/>
    </xf>
    <xf numFmtId="0" fontId="4" fillId="194" borderId="0" xfId="0" applyFont="1" applyFill="1" applyAlignment="1">
      <alignment horizontal="center"/>
    </xf>
    <xf numFmtId="2" fontId="4" fillId="195" borderId="0" xfId="0" applyNumberFormat="1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2" fontId="4" fillId="198" borderId="0" xfId="0" applyNumberFormat="1" applyFont="1" applyFill="1" applyAlignment="1">
      <alignment horizontal="center"/>
    </xf>
    <xf numFmtId="0" fontId="4" fillId="199" borderId="0" xfId="0" applyFont="1" applyFill="1"/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 applyAlignment="1">
      <alignment horizontal="center"/>
    </xf>
    <xf numFmtId="2" fontId="4" fillId="205" borderId="0" xfId="0" applyNumberFormat="1" applyFont="1" applyFill="1" applyAlignment="1">
      <alignment horizontal="center"/>
    </xf>
    <xf numFmtId="0" fontId="4" fillId="206" borderId="0" xfId="0" applyFont="1" applyFill="1"/>
    <xf numFmtId="0" fontId="4" fillId="207" borderId="0" xfId="0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2" fontId="4" fillId="209" borderId="0" xfId="0" applyNumberFormat="1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/>
    <xf numFmtId="0" fontId="4" fillId="214" borderId="0" xfId="0" applyFont="1" applyFill="1" applyAlignment="1">
      <alignment horizontal="center"/>
    </xf>
    <xf numFmtId="0" fontId="4" fillId="215" borderId="0" xfId="0" applyFont="1" applyFill="1" applyAlignment="1">
      <alignment horizontal="center"/>
    </xf>
    <xf numFmtId="2" fontId="4" fillId="216" borderId="0" xfId="0" applyNumberFormat="1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2" fontId="4" fillId="219" borderId="0" xfId="0" applyNumberFormat="1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/>
    <xf numFmtId="0" fontId="4" fillId="228" borderId="0" xfId="0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2" fontId="4" fillId="230" borderId="0" xfId="0" applyNumberFormat="1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2" fontId="4" fillId="233" borderId="0" xfId="0" applyNumberFormat="1" applyFont="1" applyFill="1" applyAlignment="1">
      <alignment horizontal="center"/>
    </xf>
    <xf numFmtId="0" fontId="4" fillId="234" borderId="0" xfId="0" applyFont="1" applyFill="1"/>
    <xf numFmtId="0" fontId="4" fillId="235" borderId="0" xfId="0" applyFont="1" applyFill="1" applyAlignment="1">
      <alignment horizontal="center"/>
    </xf>
    <xf numFmtId="0" fontId="4" fillId="236" borderId="0" xfId="0" applyFont="1" applyFill="1" applyAlignment="1">
      <alignment horizontal="center"/>
    </xf>
    <xf numFmtId="2" fontId="4" fillId="237" borderId="0" xfId="0" applyNumberFormat="1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0" fontId="4" fillId="239" borderId="0" xfId="0" applyFont="1" applyFill="1" applyAlignment="1">
      <alignment horizontal="center"/>
    </xf>
    <xf numFmtId="2" fontId="4" fillId="240" borderId="0" xfId="0" applyNumberFormat="1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/>
    <xf numFmtId="0" fontId="4" fillId="249" borderId="0" xfId="0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2" fontId="4" fillId="251" borderId="0" xfId="0" applyNumberFormat="1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2" fontId="4" fillId="254" borderId="0" xfId="0" applyNumberFormat="1" applyFont="1" applyFill="1" applyAlignment="1">
      <alignment horizontal="center"/>
    </xf>
    <xf numFmtId="0" fontId="4" fillId="255" borderId="0" xfId="0" applyFont="1" applyFill="1"/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 applyAlignment="1">
      <alignment horizontal="center"/>
    </xf>
    <xf numFmtId="2" fontId="4" fillId="261" borderId="0" xfId="0" applyNumberFormat="1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65" borderId="0" xfId="0" applyNumberFormat="1" applyFont="1" applyFill="1" applyAlignment="1">
      <alignment horizontal="center"/>
    </xf>
    <xf numFmtId="0" fontId="4" fillId="266" borderId="0" xfId="0" applyFont="1" applyFill="1"/>
    <xf numFmtId="0" fontId="4" fillId="267" borderId="0" xfId="0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2" fontId="4" fillId="269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 applyAlignment="1">
      <alignment horizontal="center"/>
    </xf>
    <xf numFmtId="2" fontId="4" fillId="272" borderId="0" xfId="0" applyNumberFormat="1" applyFont="1" applyFill="1" applyAlignment="1">
      <alignment horizontal="center"/>
    </xf>
    <xf numFmtId="2" fontId="4" fillId="273" borderId="0" xfId="0" applyNumberFormat="1" applyFont="1" applyFill="1" applyAlignment="1">
      <alignment horizontal="center"/>
    </xf>
    <xf numFmtId="0" fontId="4" fillId="274" borderId="0" xfId="0" applyFont="1" applyFill="1" applyAlignment="1">
      <alignment horizontal="center"/>
    </xf>
    <xf numFmtId="0" fontId="4" fillId="274" borderId="0" xfId="0" applyFont="1" applyFill="1"/>
  </cellXfs>
  <cellStyles count="1">
    <cellStyle name="Normal" xfId="0" builtinId="0"/>
  </cellStyles>
  <dxfs count="2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7"/>
  <sheetViews>
    <sheetView showGridLines="0" tabSelected="1" topLeftCell="D1" zoomScale="115" zoomScaleNormal="115" workbookViewId="0">
      <selection activeCell="R27" sqref="R27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294">
        <f t="shared" ref="C2:C33" si="0">B2-A2</f>
        <v>0</v>
      </c>
      <c r="D2" s="61" t="s">
        <v>48</v>
      </c>
      <c r="E2" s="62">
        <v>11</v>
      </c>
      <c r="F2" s="63">
        <v>1942</v>
      </c>
      <c r="G2" s="64">
        <f t="shared" ref="G2:G33" si="1">CEILING(F2/E2,1)</f>
        <v>177</v>
      </c>
      <c r="H2" s="65">
        <v>8</v>
      </c>
      <c r="I2" s="66">
        <v>3</v>
      </c>
      <c r="J2" s="67">
        <f t="shared" ref="J2:J33" si="2">(H2/E2)*100</f>
        <v>72.727272727272734</v>
      </c>
      <c r="K2" s="16"/>
      <c r="L2" s="15">
        <v>45381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294">
        <f t="shared" si="0"/>
        <v>0</v>
      </c>
      <c r="D3" s="61" t="s">
        <v>55</v>
      </c>
      <c r="E3" s="69">
        <v>5</v>
      </c>
      <c r="F3" s="70">
        <v>882</v>
      </c>
      <c r="G3" s="71">
        <f t="shared" si="1"/>
        <v>177</v>
      </c>
      <c r="H3" s="72">
        <v>4</v>
      </c>
      <c r="I3" s="73">
        <v>1</v>
      </c>
      <c r="J3" s="74">
        <f t="shared" si="2"/>
        <v>80</v>
      </c>
      <c r="K3" s="16"/>
      <c r="L3" s="15">
        <v>45108</v>
      </c>
      <c r="M3" s="15"/>
      <c r="O3" s="1" t="s">
        <v>47</v>
      </c>
      <c r="P3" s="1" t="s">
        <v>42</v>
      </c>
      <c r="R3" s="1">
        <f>VLOOKUP(O3,$D$2:$G$48,3,FALSE)</f>
        <v>1133</v>
      </c>
      <c r="S3" s="1">
        <f>VLOOKUP(P3,$D$2:$G$48,3,FALSE)</f>
        <v>2466</v>
      </c>
      <c r="T3" s="1">
        <f>VLOOKUP(O3,$D$2:$G$48,4,FALSE)</f>
        <v>81</v>
      </c>
      <c r="U3" s="1">
        <f>VLOOKUP(P3,$D$2:$G$48,4,FALSE)</f>
        <v>113</v>
      </c>
      <c r="V3" s="1">
        <f>IF(T3&gt;U3,T3-U3,U3-T3)</f>
        <v>32</v>
      </c>
      <c r="W3" s="1">
        <f>T3-U3</f>
        <v>-32</v>
      </c>
      <c r="Y3" s="1" t="s">
        <v>15</v>
      </c>
    </row>
    <row r="4" spans="1:28" ht="13.5" x14ac:dyDescent="0.25">
      <c r="A4" s="75">
        <v>3</v>
      </c>
      <c r="B4" s="60">
        <v>3</v>
      </c>
      <c r="C4" s="294">
        <f t="shared" si="0"/>
        <v>0</v>
      </c>
      <c r="D4" s="76" t="s">
        <v>32</v>
      </c>
      <c r="E4" s="77">
        <v>7</v>
      </c>
      <c r="F4" s="78">
        <v>1187</v>
      </c>
      <c r="G4" s="79">
        <f t="shared" si="1"/>
        <v>170</v>
      </c>
      <c r="H4" s="80">
        <v>5</v>
      </c>
      <c r="I4" s="81">
        <v>2</v>
      </c>
      <c r="J4" s="82">
        <f t="shared" si="2"/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163</v>
      </c>
      <c r="P4" s="4">
        <f>IF($V$3&lt;40,$T$3-50,IF($W$3&gt;0,$U$3-10,$U$3-90))</f>
        <v>31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294">
        <f t="shared" si="0"/>
        <v>0</v>
      </c>
      <c r="D5" s="84" t="s">
        <v>63</v>
      </c>
      <c r="E5" s="85">
        <v>13</v>
      </c>
      <c r="F5" s="86">
        <v>2124</v>
      </c>
      <c r="G5" s="87">
        <f t="shared" si="1"/>
        <v>164</v>
      </c>
      <c r="H5" s="88">
        <v>10</v>
      </c>
      <c r="I5" s="89">
        <v>3</v>
      </c>
      <c r="J5" s="90">
        <f t="shared" si="2"/>
        <v>76.923076923076934</v>
      </c>
      <c r="K5" s="16"/>
      <c r="L5" s="15">
        <v>45371</v>
      </c>
      <c r="M5" s="15"/>
    </row>
    <row r="6" spans="1:28" ht="13.5" x14ac:dyDescent="0.25">
      <c r="A6" s="91">
        <v>5</v>
      </c>
      <c r="B6" s="60">
        <v>5</v>
      </c>
      <c r="C6" s="294">
        <f t="shared" si="0"/>
        <v>0</v>
      </c>
      <c r="D6" s="92" t="s">
        <v>57</v>
      </c>
      <c r="E6" s="93">
        <v>7</v>
      </c>
      <c r="F6" s="94">
        <v>1014</v>
      </c>
      <c r="G6" s="95">
        <f t="shared" si="1"/>
        <v>145</v>
      </c>
      <c r="H6" s="96">
        <v>6</v>
      </c>
      <c r="I6" s="97">
        <v>1</v>
      </c>
      <c r="J6" s="98">
        <f t="shared" si="2"/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294">
        <f t="shared" si="0"/>
        <v>0</v>
      </c>
      <c r="D7" s="100" t="s">
        <v>38</v>
      </c>
      <c r="E7" s="101">
        <v>2</v>
      </c>
      <c r="F7" s="102">
        <v>273</v>
      </c>
      <c r="G7" s="103">
        <f t="shared" si="1"/>
        <v>137</v>
      </c>
      <c r="H7" s="104">
        <v>1</v>
      </c>
      <c r="I7" s="105">
        <v>1</v>
      </c>
      <c r="J7" s="106">
        <f t="shared" si="2"/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8</v>
      </c>
      <c r="C8" s="294">
        <f t="shared" si="0"/>
        <v>1</v>
      </c>
      <c r="D8" s="116" t="s">
        <v>59</v>
      </c>
      <c r="E8" s="117">
        <v>8</v>
      </c>
      <c r="F8" s="118">
        <v>1032</v>
      </c>
      <c r="G8" s="119">
        <f t="shared" si="1"/>
        <v>129</v>
      </c>
      <c r="H8" s="120">
        <v>6</v>
      </c>
      <c r="I8" s="121">
        <v>2</v>
      </c>
      <c r="J8" s="122">
        <f t="shared" si="2"/>
        <v>75</v>
      </c>
      <c r="K8" s="16"/>
      <c r="L8" s="15">
        <v>45136.552691435187</v>
      </c>
      <c r="M8" s="15"/>
    </row>
    <row r="9" spans="1:28" ht="13.5" x14ac:dyDescent="0.25">
      <c r="A9" s="115">
        <v>8</v>
      </c>
      <c r="B9" s="60">
        <v>9</v>
      </c>
      <c r="C9" s="294">
        <f t="shared" si="0"/>
        <v>1</v>
      </c>
      <c r="D9" s="124" t="s">
        <v>61</v>
      </c>
      <c r="E9" s="125">
        <v>9</v>
      </c>
      <c r="F9" s="126">
        <v>1153</v>
      </c>
      <c r="G9" s="127">
        <f t="shared" si="1"/>
        <v>129</v>
      </c>
      <c r="H9" s="128">
        <v>5</v>
      </c>
      <c r="I9" s="129">
        <v>4</v>
      </c>
      <c r="J9" s="130">
        <f t="shared" si="2"/>
        <v>55.555555555555557</v>
      </c>
      <c r="K9" s="16"/>
      <c r="L9" s="15">
        <v>45206</v>
      </c>
      <c r="M9" s="15"/>
    </row>
    <row r="10" spans="1:28" ht="13.5" x14ac:dyDescent="0.25">
      <c r="A10" s="123">
        <v>9</v>
      </c>
      <c r="B10" s="60">
        <v>10</v>
      </c>
      <c r="C10" s="294">
        <f t="shared" si="0"/>
        <v>1</v>
      </c>
      <c r="D10" s="132" t="s">
        <v>62</v>
      </c>
      <c r="E10" s="133">
        <v>7</v>
      </c>
      <c r="F10" s="134">
        <v>890</v>
      </c>
      <c r="G10" s="135">
        <f t="shared" si="1"/>
        <v>128</v>
      </c>
      <c r="H10" s="136">
        <v>3</v>
      </c>
      <c r="I10" s="137">
        <v>4</v>
      </c>
      <c r="J10" s="138">
        <f t="shared" si="2"/>
        <v>42.857142857142854</v>
      </c>
      <c r="K10" s="16"/>
      <c r="L10" s="15">
        <v>45284</v>
      </c>
      <c r="M10" s="15"/>
      <c r="R10" s="1" t="s">
        <v>31</v>
      </c>
    </row>
    <row r="11" spans="1:28" ht="13.5" x14ac:dyDescent="0.25">
      <c r="A11" s="131">
        <v>10</v>
      </c>
      <c r="B11" s="60">
        <v>7</v>
      </c>
      <c r="C11" s="294">
        <f t="shared" si="0"/>
        <v>-3</v>
      </c>
      <c r="D11" s="108" t="s">
        <v>54</v>
      </c>
      <c r="E11" s="109">
        <v>17</v>
      </c>
      <c r="F11" s="110">
        <v>2127</v>
      </c>
      <c r="G11" s="111">
        <f t="shared" si="1"/>
        <v>126</v>
      </c>
      <c r="H11" s="112">
        <v>9</v>
      </c>
      <c r="I11" s="113">
        <v>8</v>
      </c>
      <c r="J11" s="114">
        <f t="shared" si="2"/>
        <v>52.941176470588239</v>
      </c>
      <c r="K11" s="16"/>
      <c r="L11" s="15">
        <v>45381</v>
      </c>
      <c r="M11" s="15"/>
    </row>
    <row r="12" spans="1:28" ht="13.5" x14ac:dyDescent="0.25">
      <c r="A12" s="139">
        <v>11</v>
      </c>
      <c r="B12" s="60">
        <v>11</v>
      </c>
      <c r="C12" s="294">
        <f t="shared" si="0"/>
        <v>0</v>
      </c>
      <c r="D12" s="140" t="s">
        <v>49</v>
      </c>
      <c r="E12" s="141">
        <v>2</v>
      </c>
      <c r="F12" s="142">
        <v>250</v>
      </c>
      <c r="G12" s="143">
        <f t="shared" si="1"/>
        <v>125</v>
      </c>
      <c r="H12" s="144">
        <v>1</v>
      </c>
      <c r="I12" s="145">
        <v>1</v>
      </c>
      <c r="J12" s="146">
        <f t="shared" si="2"/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294">
        <f t="shared" si="0"/>
        <v>0</v>
      </c>
      <c r="D13" s="148" t="s">
        <v>45</v>
      </c>
      <c r="E13" s="149">
        <v>2</v>
      </c>
      <c r="F13" s="150">
        <v>250</v>
      </c>
      <c r="G13" s="151">
        <f t="shared" si="1"/>
        <v>125</v>
      </c>
      <c r="H13" s="152">
        <v>1</v>
      </c>
      <c r="I13" s="153">
        <v>1</v>
      </c>
      <c r="J13" s="154">
        <f t="shared" si="2"/>
        <v>50</v>
      </c>
      <c r="K13" s="16"/>
      <c r="L13" s="15">
        <v>44871</v>
      </c>
      <c r="M13" s="15"/>
      <c r="N13" s="1" t="s">
        <v>13</v>
      </c>
      <c r="O13" s="4">
        <v>165</v>
      </c>
      <c r="P13" s="4">
        <v>26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294">
        <f t="shared" si="0"/>
        <v>0</v>
      </c>
      <c r="D14" s="156" t="s">
        <v>43</v>
      </c>
      <c r="E14" s="157">
        <v>10</v>
      </c>
      <c r="F14" s="158">
        <v>1239</v>
      </c>
      <c r="G14" s="159">
        <f t="shared" si="1"/>
        <v>124</v>
      </c>
      <c r="H14" s="160">
        <v>6</v>
      </c>
      <c r="I14" s="161">
        <v>4</v>
      </c>
      <c r="J14" s="162">
        <f t="shared" si="2"/>
        <v>60</v>
      </c>
      <c r="K14" s="16"/>
      <c r="L14" s="15">
        <v>45200</v>
      </c>
      <c r="M14" s="15"/>
      <c r="N14" s="1" t="s">
        <v>22</v>
      </c>
      <c r="O14" s="2">
        <v>968</v>
      </c>
      <c r="P14" s="2">
        <v>2420</v>
      </c>
    </row>
    <row r="15" spans="1:28" ht="13.5" x14ac:dyDescent="0.25">
      <c r="A15" s="163">
        <v>14</v>
      </c>
      <c r="B15" s="60">
        <v>14</v>
      </c>
      <c r="C15" s="294">
        <f t="shared" si="0"/>
        <v>0</v>
      </c>
      <c r="D15" s="164" t="s">
        <v>64</v>
      </c>
      <c r="E15" s="165">
        <v>8</v>
      </c>
      <c r="F15" s="166">
        <v>911</v>
      </c>
      <c r="G15" s="167">
        <f t="shared" si="1"/>
        <v>114</v>
      </c>
      <c r="H15" s="168">
        <v>4</v>
      </c>
      <c r="I15" s="169">
        <v>4</v>
      </c>
      <c r="J15" s="170">
        <f t="shared" si="2"/>
        <v>50</v>
      </c>
      <c r="K15" s="16"/>
      <c r="L15" s="15">
        <v>45284</v>
      </c>
      <c r="M15" s="15"/>
      <c r="N15" s="1" t="s">
        <v>23</v>
      </c>
      <c r="O15" s="37">
        <f>SUM(O13:O14)</f>
        <v>1133</v>
      </c>
      <c r="P15" s="36">
        <f>SUM(P13:P14)</f>
        <v>2446</v>
      </c>
    </row>
    <row r="16" spans="1:28" ht="13.5" x14ac:dyDescent="0.25">
      <c r="A16" s="171">
        <v>15</v>
      </c>
      <c r="B16" s="60">
        <v>16</v>
      </c>
      <c r="C16" s="294">
        <f t="shared" si="0"/>
        <v>1</v>
      </c>
      <c r="D16" s="196" t="s">
        <v>42</v>
      </c>
      <c r="E16" s="197">
        <v>22</v>
      </c>
      <c r="F16" s="198">
        <v>2466</v>
      </c>
      <c r="G16" s="199">
        <f t="shared" si="1"/>
        <v>113</v>
      </c>
      <c r="H16" s="200">
        <v>12</v>
      </c>
      <c r="I16" s="201">
        <v>10</v>
      </c>
      <c r="J16" s="202">
        <f t="shared" si="2"/>
        <v>54.54545454545454</v>
      </c>
      <c r="K16" s="16"/>
      <c r="L16" s="15">
        <v>45382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15</v>
      </c>
      <c r="C17" s="294">
        <f t="shared" si="0"/>
        <v>-1</v>
      </c>
      <c r="D17" s="172" t="s">
        <v>51</v>
      </c>
      <c r="E17" s="173">
        <v>17</v>
      </c>
      <c r="F17" s="174">
        <v>1843</v>
      </c>
      <c r="G17" s="175">
        <f t="shared" si="1"/>
        <v>109</v>
      </c>
      <c r="H17" s="176">
        <v>7</v>
      </c>
      <c r="I17" s="177">
        <v>9</v>
      </c>
      <c r="J17" s="178">
        <f t="shared" si="2"/>
        <v>41.17647058823529</v>
      </c>
      <c r="K17" s="16"/>
      <c r="L17" s="15">
        <v>45164.94739976852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294">
        <f t="shared" si="0"/>
        <v>0</v>
      </c>
      <c r="D18" s="180" t="s">
        <v>28</v>
      </c>
      <c r="E18" s="181">
        <v>14</v>
      </c>
      <c r="F18" s="182">
        <v>1496</v>
      </c>
      <c r="G18" s="183">
        <f t="shared" si="1"/>
        <v>107</v>
      </c>
      <c r="H18" s="184">
        <v>5</v>
      </c>
      <c r="I18" s="185">
        <v>9</v>
      </c>
      <c r="J18" s="186">
        <f t="shared" si="2"/>
        <v>35.714285714285715</v>
      </c>
      <c r="K18" s="16"/>
      <c r="L18" s="15">
        <v>45179.55841435185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18</v>
      </c>
      <c r="C19" s="294">
        <f t="shared" si="0"/>
        <v>0</v>
      </c>
      <c r="D19" s="188" t="s">
        <v>35</v>
      </c>
      <c r="E19" s="189">
        <v>15</v>
      </c>
      <c r="F19" s="190">
        <v>1592</v>
      </c>
      <c r="G19" s="191">
        <f t="shared" si="1"/>
        <v>107</v>
      </c>
      <c r="H19" s="192">
        <v>8</v>
      </c>
      <c r="I19" s="193">
        <v>7</v>
      </c>
      <c r="J19" s="194">
        <f t="shared" si="2"/>
        <v>53.333333333333336</v>
      </c>
      <c r="K19" s="16"/>
      <c r="L19" s="15">
        <v>45018</v>
      </c>
      <c r="M19" s="15"/>
      <c r="O19" s="3"/>
    </row>
    <row r="20" spans="1:27" ht="13.5" x14ac:dyDescent="0.25">
      <c r="A20" s="203">
        <v>19</v>
      </c>
      <c r="B20" s="60">
        <v>19</v>
      </c>
      <c r="C20" s="294">
        <f t="shared" si="0"/>
        <v>0</v>
      </c>
      <c r="D20" s="204" t="s">
        <v>56</v>
      </c>
      <c r="E20" s="205">
        <v>16</v>
      </c>
      <c r="F20" s="206">
        <v>1639</v>
      </c>
      <c r="G20" s="207">
        <f t="shared" si="1"/>
        <v>103</v>
      </c>
      <c r="H20" s="208">
        <v>8</v>
      </c>
      <c r="I20" s="209">
        <v>8</v>
      </c>
      <c r="J20" s="210">
        <f t="shared" si="2"/>
        <v>50</v>
      </c>
      <c r="K20" s="16"/>
      <c r="L20" s="15">
        <v>45283</v>
      </c>
      <c r="M20" s="15"/>
    </row>
    <row r="21" spans="1:27" ht="13.5" x14ac:dyDescent="0.25">
      <c r="A21" s="195">
        <v>20</v>
      </c>
      <c r="B21" s="60">
        <v>20</v>
      </c>
      <c r="C21" s="294">
        <f t="shared" si="0"/>
        <v>0</v>
      </c>
      <c r="D21" s="211" t="s">
        <v>60</v>
      </c>
      <c r="E21" s="212">
        <v>5</v>
      </c>
      <c r="F21" s="213">
        <v>503</v>
      </c>
      <c r="G21" s="214">
        <f t="shared" si="1"/>
        <v>101</v>
      </c>
      <c r="H21" s="215">
        <v>2</v>
      </c>
      <c r="I21" s="216">
        <v>3</v>
      </c>
      <c r="J21" s="217">
        <f t="shared" si="2"/>
        <v>40</v>
      </c>
      <c r="K21" s="16"/>
      <c r="L21" s="15">
        <v>45080</v>
      </c>
      <c r="M21" s="15"/>
      <c r="O21" s="9" t="s">
        <v>30</v>
      </c>
      <c r="P21" s="8">
        <f ca="1">NOW()</f>
        <v>45383.413907754628</v>
      </c>
    </row>
    <row r="22" spans="1:27" ht="13.5" x14ac:dyDescent="0.25">
      <c r="A22" s="203">
        <v>21</v>
      </c>
      <c r="B22" s="60">
        <v>21</v>
      </c>
      <c r="C22" s="294">
        <f t="shared" si="0"/>
        <v>0</v>
      </c>
      <c r="D22" s="218" t="s">
        <v>39</v>
      </c>
      <c r="E22" s="219">
        <v>12</v>
      </c>
      <c r="F22" s="220">
        <v>1212</v>
      </c>
      <c r="G22" s="221">
        <f t="shared" si="1"/>
        <v>101</v>
      </c>
      <c r="H22" s="222">
        <v>6</v>
      </c>
      <c r="I22" s="223">
        <v>6</v>
      </c>
      <c r="J22" s="224">
        <f t="shared" si="2"/>
        <v>50</v>
      </c>
      <c r="K22" s="16"/>
      <c r="L22" s="15">
        <v>45136.552764120373</v>
      </c>
      <c r="M22" s="15"/>
    </row>
    <row r="23" spans="1:27" ht="13.5" x14ac:dyDescent="0.25">
      <c r="A23" s="195">
        <v>22</v>
      </c>
      <c r="B23" s="60">
        <v>22</v>
      </c>
      <c r="C23" s="294">
        <f t="shared" si="0"/>
        <v>0</v>
      </c>
      <c r="D23" s="225" t="s">
        <v>37</v>
      </c>
      <c r="E23" s="226">
        <v>6</v>
      </c>
      <c r="F23" s="227">
        <v>579</v>
      </c>
      <c r="G23" s="228">
        <f t="shared" si="1"/>
        <v>97</v>
      </c>
      <c r="H23" s="229">
        <v>2</v>
      </c>
      <c r="I23" s="230">
        <v>4</v>
      </c>
      <c r="J23" s="231">
        <f t="shared" si="2"/>
        <v>33.333333333333329</v>
      </c>
      <c r="K23" s="16"/>
      <c r="L23" s="15">
        <v>45038</v>
      </c>
      <c r="M23" s="15"/>
    </row>
    <row r="24" spans="1:27" ht="13.5" x14ac:dyDescent="0.25">
      <c r="A24" s="203">
        <v>23</v>
      </c>
      <c r="B24" s="60">
        <v>23</v>
      </c>
      <c r="C24" s="294">
        <f t="shared" si="0"/>
        <v>0</v>
      </c>
      <c r="D24" s="232" t="s">
        <v>53</v>
      </c>
      <c r="E24" s="233">
        <v>15</v>
      </c>
      <c r="F24" s="234">
        <v>1374</v>
      </c>
      <c r="G24" s="235">
        <f t="shared" si="1"/>
        <v>92</v>
      </c>
      <c r="H24" s="236">
        <v>7</v>
      </c>
      <c r="I24" s="237">
        <v>8</v>
      </c>
      <c r="J24" s="238">
        <f t="shared" si="2"/>
        <v>46.666666666666664</v>
      </c>
      <c r="K24" s="16"/>
      <c r="L24" s="15">
        <v>45262</v>
      </c>
      <c r="M24" s="15"/>
    </row>
    <row r="25" spans="1:27" ht="13.5" x14ac:dyDescent="0.25">
      <c r="A25" s="195">
        <v>24</v>
      </c>
      <c r="B25" s="60">
        <v>24</v>
      </c>
      <c r="C25" s="294">
        <f t="shared" si="0"/>
        <v>0</v>
      </c>
      <c r="D25" s="239" t="s">
        <v>46</v>
      </c>
      <c r="E25" s="240">
        <v>9</v>
      </c>
      <c r="F25" s="241">
        <v>812</v>
      </c>
      <c r="G25" s="242">
        <f t="shared" si="1"/>
        <v>91</v>
      </c>
      <c r="H25" s="243">
        <v>3</v>
      </c>
      <c r="I25" s="244">
        <v>6</v>
      </c>
      <c r="J25" s="245">
        <f t="shared" si="2"/>
        <v>33.333333333333329</v>
      </c>
      <c r="K25" s="16"/>
      <c r="L25" s="15">
        <v>45185.558495370373</v>
      </c>
      <c r="M25" s="15"/>
    </row>
    <row r="26" spans="1:27" ht="13.5" x14ac:dyDescent="0.25">
      <c r="A26" s="203">
        <v>25</v>
      </c>
      <c r="B26" s="60">
        <v>25</v>
      </c>
      <c r="C26" s="294">
        <f t="shared" si="0"/>
        <v>0</v>
      </c>
      <c r="D26" s="246" t="s">
        <v>36</v>
      </c>
      <c r="E26" s="247">
        <v>21</v>
      </c>
      <c r="F26" s="248">
        <v>1903</v>
      </c>
      <c r="G26" s="249">
        <f t="shared" si="1"/>
        <v>91</v>
      </c>
      <c r="H26" s="250">
        <v>8</v>
      </c>
      <c r="I26" s="251">
        <v>13</v>
      </c>
      <c r="J26" s="252">
        <f t="shared" si="2"/>
        <v>38.095238095238095</v>
      </c>
      <c r="K26" s="16"/>
      <c r="L26" s="15">
        <v>45268</v>
      </c>
      <c r="M26" s="15"/>
    </row>
    <row r="27" spans="1:27" ht="13.5" x14ac:dyDescent="0.25">
      <c r="A27" s="195">
        <v>26</v>
      </c>
      <c r="B27" s="60">
        <v>26</v>
      </c>
      <c r="C27" s="294">
        <f t="shared" si="0"/>
        <v>0</v>
      </c>
      <c r="D27" s="253" t="s">
        <v>47</v>
      </c>
      <c r="E27" s="254">
        <v>14</v>
      </c>
      <c r="F27" s="255">
        <v>1133</v>
      </c>
      <c r="G27" s="256">
        <f t="shared" si="1"/>
        <v>81</v>
      </c>
      <c r="H27" s="257">
        <v>5</v>
      </c>
      <c r="I27" s="258">
        <v>9</v>
      </c>
      <c r="J27" s="259">
        <f t="shared" si="2"/>
        <v>35.714285714285715</v>
      </c>
      <c r="K27" s="16"/>
      <c r="L27" s="15">
        <v>45382</v>
      </c>
      <c r="M27" s="15"/>
    </row>
    <row r="28" spans="1:27" ht="13.5" x14ac:dyDescent="0.25">
      <c r="A28" s="203">
        <v>27</v>
      </c>
      <c r="B28" s="60">
        <v>27</v>
      </c>
      <c r="C28" s="294">
        <f t="shared" si="0"/>
        <v>0</v>
      </c>
      <c r="D28" s="260" t="s">
        <v>58</v>
      </c>
      <c r="E28" s="261">
        <v>4</v>
      </c>
      <c r="F28" s="262">
        <v>278</v>
      </c>
      <c r="G28" s="263">
        <f t="shared" si="1"/>
        <v>70</v>
      </c>
      <c r="H28" s="264">
        <v>1</v>
      </c>
      <c r="I28" s="265">
        <v>3</v>
      </c>
      <c r="J28" s="266">
        <f t="shared" si="2"/>
        <v>25</v>
      </c>
      <c r="K28" s="16"/>
      <c r="L28" s="15">
        <v>44941</v>
      </c>
      <c r="M28" s="15"/>
    </row>
    <row r="29" spans="1:27" ht="13.5" x14ac:dyDescent="0.25">
      <c r="A29" s="195">
        <v>28</v>
      </c>
      <c r="B29" s="60">
        <v>28</v>
      </c>
      <c r="C29" s="294">
        <f t="shared" si="0"/>
        <v>0</v>
      </c>
      <c r="D29" s="267" t="s">
        <v>40</v>
      </c>
      <c r="E29" s="268">
        <v>5</v>
      </c>
      <c r="F29" s="269">
        <v>303</v>
      </c>
      <c r="G29" s="270">
        <f t="shared" si="1"/>
        <v>61</v>
      </c>
      <c r="H29" s="271">
        <v>1</v>
      </c>
      <c r="I29" s="272">
        <v>4</v>
      </c>
      <c r="J29" s="273">
        <f t="shared" si="2"/>
        <v>20</v>
      </c>
      <c r="K29" s="16"/>
      <c r="L29" s="15">
        <v>45059</v>
      </c>
      <c r="M29" s="15"/>
    </row>
    <row r="30" spans="1:27" ht="13.5" x14ac:dyDescent="0.25">
      <c r="A30" s="203">
        <v>29</v>
      </c>
      <c r="B30" s="60">
        <v>29</v>
      </c>
      <c r="C30" s="294">
        <f t="shared" si="0"/>
        <v>0</v>
      </c>
      <c r="D30" s="274" t="s">
        <v>41</v>
      </c>
      <c r="E30" s="275">
        <v>1</v>
      </c>
      <c r="F30" s="276">
        <v>50</v>
      </c>
      <c r="G30" s="277">
        <f t="shared" si="1"/>
        <v>50</v>
      </c>
      <c r="H30" s="278">
        <v>0</v>
      </c>
      <c r="I30" s="279">
        <v>1</v>
      </c>
      <c r="J30" s="280">
        <f t="shared" si="2"/>
        <v>0</v>
      </c>
      <c r="K30" s="16"/>
      <c r="L30" s="15">
        <v>44835</v>
      </c>
      <c r="M30" s="15"/>
    </row>
    <row r="31" spans="1:27" ht="13.5" x14ac:dyDescent="0.25">
      <c r="A31" s="195">
        <v>30</v>
      </c>
      <c r="B31" s="60">
        <v>30</v>
      </c>
      <c r="C31" s="294">
        <f t="shared" si="0"/>
        <v>0</v>
      </c>
      <c r="D31" s="43" t="s">
        <v>44</v>
      </c>
      <c r="E31" s="44">
        <v>1</v>
      </c>
      <c r="F31" s="281">
        <v>50</v>
      </c>
      <c r="G31" s="282">
        <f t="shared" si="1"/>
        <v>50</v>
      </c>
      <c r="H31" s="283">
        <v>0</v>
      </c>
      <c r="I31" s="284">
        <v>1</v>
      </c>
      <c r="J31" s="285">
        <f t="shared" si="2"/>
        <v>0</v>
      </c>
      <c r="K31" s="16"/>
      <c r="L31" s="15">
        <v>44836</v>
      </c>
      <c r="M31" s="15"/>
    </row>
    <row r="32" spans="1:27" ht="13.5" x14ac:dyDescent="0.25">
      <c r="A32" s="203">
        <v>31</v>
      </c>
      <c r="B32" s="60">
        <v>31</v>
      </c>
      <c r="C32" s="294">
        <f t="shared" si="0"/>
        <v>0</v>
      </c>
      <c r="D32" s="286" t="s">
        <v>50</v>
      </c>
      <c r="E32" s="287">
        <v>1</v>
      </c>
      <c r="F32" s="288">
        <v>50</v>
      </c>
      <c r="G32" s="289">
        <f t="shared" si="1"/>
        <v>50</v>
      </c>
      <c r="H32" s="290">
        <v>0</v>
      </c>
      <c r="I32" s="291">
        <v>1</v>
      </c>
      <c r="J32" s="292">
        <f t="shared" si="2"/>
        <v>0</v>
      </c>
      <c r="K32" s="16"/>
      <c r="L32" s="15">
        <v>44843</v>
      </c>
      <c r="M32" s="15"/>
    </row>
    <row r="33" spans="1:13" ht="13.5" x14ac:dyDescent="0.25">
      <c r="A33" s="195">
        <v>32</v>
      </c>
      <c r="B33" s="60">
        <v>32</v>
      </c>
      <c r="C33" s="294">
        <f t="shared" si="0"/>
        <v>0</v>
      </c>
      <c r="D33" s="46" t="s">
        <v>52</v>
      </c>
      <c r="E33" s="47">
        <v>1</v>
      </c>
      <c r="F33" s="48">
        <v>50</v>
      </c>
      <c r="G33" s="293">
        <f t="shared" si="1"/>
        <v>50</v>
      </c>
      <c r="H33" s="49">
        <v>0</v>
      </c>
      <c r="I33" s="50">
        <v>1</v>
      </c>
      <c r="J33" s="42">
        <f t="shared" si="2"/>
        <v>0</v>
      </c>
      <c r="K33" s="13"/>
      <c r="L33" s="15">
        <v>44849</v>
      </c>
      <c r="M33" s="15"/>
    </row>
    <row r="34" spans="1:13" ht="13.5" x14ac:dyDescent="0.25">
      <c r="A34" s="45"/>
      <c r="B34" s="60"/>
      <c r="C34" s="294"/>
      <c r="D34" s="46"/>
      <c r="E34" s="47"/>
      <c r="F34" s="48"/>
      <c r="G34" s="293"/>
      <c r="H34" s="49"/>
      <c r="I34" s="50"/>
      <c r="J34" s="42"/>
      <c r="K34" s="13"/>
      <c r="L34" s="15"/>
      <c r="M34" s="15"/>
    </row>
    <row r="35" spans="1:13" ht="13.5" x14ac:dyDescent="0.25">
      <c r="A35" s="51"/>
      <c r="B35" s="52"/>
      <c r="C35" s="295"/>
      <c r="D35" s="53"/>
      <c r="E35" s="54"/>
      <c r="F35" s="55"/>
      <c r="G35" s="56"/>
      <c r="H35" s="57"/>
      <c r="I35" s="58"/>
      <c r="J35" s="41"/>
      <c r="K35" s="16"/>
      <c r="L35" s="15"/>
      <c r="M35" s="15"/>
    </row>
    <row r="36" spans="1:13" x14ac:dyDescent="0.2">
      <c r="G36" s="3"/>
      <c r="J36" s="3"/>
      <c r="K36" s="3"/>
    </row>
    <row r="37" spans="1:13" x14ac:dyDescent="0.2">
      <c r="G37" s="3"/>
      <c r="J37" s="3"/>
      <c r="K37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7">
    <cfRule type="cellIs" dxfId="23" priority="33" operator="lessThan">
      <formula>0</formula>
    </cfRule>
    <cfRule type="cellIs" dxfId="22" priority="34" operator="greaterThan">
      <formula>0</formula>
    </cfRule>
  </conditionalFormatting>
  <conditionalFormatting sqref="C2:C37">
    <cfRule type="cellIs" dxfId="21" priority="32" operator="equal">
      <formula>0</formula>
    </cfRule>
  </conditionalFormatting>
  <conditionalFormatting sqref="C2:C37">
    <cfRule type="cellIs" dxfId="20" priority="31" operator="equal">
      <formula>0</formula>
    </cfRule>
  </conditionalFormatting>
  <conditionalFormatting sqref="D41:D66 D2:D36">
    <cfRule type="cellIs" dxfId="19" priority="30" operator="equal">
      <formula>$O$3</formula>
    </cfRule>
  </conditionalFormatting>
  <conditionalFormatting sqref="D41:D66 D2:D36">
    <cfRule type="cellIs" dxfId="18" priority="29" operator="equal">
      <formula>$P$3</formula>
    </cfRule>
  </conditionalFormatting>
  <conditionalFormatting sqref="D37">
    <cfRule type="cellIs" dxfId="17" priority="18" operator="equal">
      <formula>$O$3</formula>
    </cfRule>
  </conditionalFormatting>
  <conditionalFormatting sqref="D37">
    <cfRule type="cellIs" dxfId="16" priority="17" operator="equal">
      <formula>$P$3</formula>
    </cfRule>
  </conditionalFormatting>
  <conditionalFormatting sqref="L1:M1 L3:M4 L29:M1048576 M28 M8 L6:M7 M5 L28:L33 L9:M16 L18:M27 M17">
    <cfRule type="cellIs" dxfId="15" priority="16" operator="lessThan">
      <formula>EDATE($P$21,-18)</formula>
    </cfRule>
  </conditionalFormatting>
  <conditionalFormatting sqref="M2">
    <cfRule type="cellIs" dxfId="14" priority="9" operator="lessThan">
      <formula>EDATE($P$21,-18)</formula>
    </cfRule>
  </conditionalFormatting>
  <conditionalFormatting sqref="O15">
    <cfRule type="cellIs" dxfId="13" priority="8" operator="equal">
      <formula>$O$3</formula>
    </cfRule>
  </conditionalFormatting>
  <conditionalFormatting sqref="O15">
    <cfRule type="cellIs" dxfId="12" priority="7" operator="equal">
      <formula>$P$3</formula>
    </cfRule>
  </conditionalFormatting>
  <conditionalFormatting sqref="P15">
    <cfRule type="cellIs" dxfId="11" priority="4" operator="equal">
      <formula>$O$3</formula>
    </cfRule>
  </conditionalFormatting>
  <conditionalFormatting sqref="P15">
    <cfRule type="cellIs" dxfId="10" priority="3" operator="equal">
      <formula>$P$3</formula>
    </cfRule>
  </conditionalFormatting>
  <conditionalFormatting sqref="L2:L35">
    <cfRule type="cellIs" dxfId="0" priority="2" operator="lessThan">
      <formula>EDATE($P$21,-18)</formula>
    </cfRule>
  </conditionalFormatting>
  <conditionalFormatting sqref="L5">
    <cfRule type="cellIs" dxfId="9" priority="1" operator="lessThan">
      <formula>EDATE($P$21,-18)</formula>
    </cfRule>
  </conditionalFormatting>
  <dataValidations disablePrompts="1"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C2:C33">
    <cfRule type="cellIs" dxfId="6" priority="6" operator="equal">
      <formula>0</formula>
    </cfRule>
  </conditionalFormatting>
  <conditionalFormatting sqref="C2:C33">
    <cfRule type="cellIs" dxfId="5" priority="5" operator="equal">
      <formula>0</formula>
    </cfRule>
  </conditionalFormatting>
  <conditionalFormatting sqref="D2:D33">
    <cfRule type="cellIs" dxfId="4" priority="4" operator="equal">
      <formula>$N$3</formula>
    </cfRule>
  </conditionalFormatting>
  <conditionalFormatting sqref="D2:D33">
    <cfRule type="cellIs" dxfId="3" priority="3" operator="equal">
      <formula>$O$3</formula>
    </cfRule>
  </conditionalFormatting>
  <conditionalFormatting sqref="L1 L3:L33">
    <cfRule type="cellIs" dxfId="2" priority="2" operator="lessThan">
      <formula>EDATE($O$21,-18)</formula>
    </cfRule>
  </conditionalFormatting>
  <conditionalFormatting sqref="L2">
    <cfRule type="cellIs" dxfId="1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2024-04-01T01:56:03Z</dcterms:modified>
</cp:coreProperties>
</file>