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A3ADAE88-7685-47A5-9492-C2D6A9F3BB74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C3" i="10"/>
  <c r="G3" i="10"/>
  <c r="J3" i="10"/>
  <c r="C4" i="10"/>
  <c r="G4" i="10"/>
  <c r="J4" i="10"/>
  <c r="C11" i="10"/>
  <c r="G11" i="10"/>
  <c r="J11" i="10"/>
  <c r="C5" i="10"/>
  <c r="G5" i="10"/>
  <c r="J5" i="10"/>
  <c r="C7" i="10"/>
  <c r="G7" i="10"/>
  <c r="J7" i="10"/>
  <c r="C8" i="10"/>
  <c r="G8" i="10"/>
  <c r="J8" i="10"/>
  <c r="C9" i="10"/>
  <c r="G9" i="10"/>
  <c r="J9" i="10"/>
  <c r="C10" i="10"/>
  <c r="G10" i="10"/>
  <c r="J10" i="10"/>
  <c r="C12" i="10"/>
  <c r="G12" i="10"/>
  <c r="J12" i="10"/>
  <c r="C22" i="10"/>
  <c r="G22" i="10"/>
  <c r="J22" i="10"/>
  <c r="C6" i="10"/>
  <c r="G6" i="10"/>
  <c r="J6" i="10"/>
  <c r="C14" i="10"/>
  <c r="G14" i="10"/>
  <c r="J14" i="10"/>
  <c r="C15" i="10"/>
  <c r="G15" i="10"/>
  <c r="J15" i="10"/>
  <c r="C13" i="10"/>
  <c r="G13" i="10"/>
  <c r="J13" i="10"/>
  <c r="C16" i="10"/>
  <c r="G16" i="10"/>
  <c r="J16" i="10"/>
  <c r="C17" i="10"/>
  <c r="G17" i="10"/>
  <c r="J17" i="10"/>
  <c r="C18" i="10"/>
  <c r="G18" i="10"/>
  <c r="J18" i="10"/>
  <c r="C19" i="10"/>
  <c r="G19" i="10"/>
  <c r="J19" i="10"/>
  <c r="C20" i="10"/>
  <c r="G20" i="10"/>
  <c r="J20" i="10"/>
  <c r="C21" i="10"/>
  <c r="G21" i="10"/>
  <c r="J21" i="10"/>
  <c r="C24" i="10"/>
  <c r="G24" i="10"/>
  <c r="J24" i="10"/>
  <c r="C25" i="10"/>
  <c r="G25" i="10"/>
  <c r="J25" i="10"/>
  <c r="C23" i="10"/>
  <c r="G23" i="10"/>
  <c r="J23" i="10"/>
  <c r="C26" i="10"/>
  <c r="G26" i="10"/>
  <c r="J26" i="10"/>
  <c r="C27" i="10"/>
  <c r="G27" i="10"/>
  <c r="J27" i="10"/>
  <c r="C28" i="10"/>
  <c r="G28" i="10"/>
  <c r="J28" i="10"/>
  <c r="C29" i="10"/>
  <c r="G29" i="10"/>
  <c r="J29" i="10"/>
  <c r="C30" i="10"/>
  <c r="G30" i="10"/>
  <c r="J30" i="10"/>
  <c r="C31" i="10"/>
  <c r="G31" i="10"/>
  <c r="J31" i="10"/>
  <c r="C32" i="10"/>
  <c r="G32" i="10"/>
  <c r="J32" i="10"/>
  <c r="C33" i="10"/>
  <c r="G33" i="10"/>
  <c r="J33" i="10"/>
  <c r="C34" i="10"/>
  <c r="C35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<sst xmlns="http://schemas.openxmlformats.org/spreadsheetml/2006/main" count="111" uniqueCount="62">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</sst>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29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832"/>
        <bgColor indexed="64"/>
      </patternFill>
    </fill>
    <fill>
      <patternFill patternType="solid">
        <fgColor rgb="FF029832"/>
        <bgColor indexed="64"/>
      </patternFill>
    </fill>
    <fill>
      <patternFill patternType="solid">
        <fgColor rgb="FF049732"/>
        <bgColor indexed="64"/>
      </patternFill>
    </fill>
    <fill>
      <patternFill patternType="solid">
        <fgColor rgb="FF089531"/>
        <bgColor indexed="64"/>
      </patternFill>
    </fill>
    <fill>
      <patternFill patternType="solid">
        <fgColor rgb="FF0C9330"/>
        <bgColor indexed="64"/>
      </patternFill>
    </fill>
    <fill>
      <patternFill patternType="solid">
        <fgColor rgb="FF12912F"/>
        <bgColor indexed="64"/>
      </patternFill>
    </fill>
    <fill>
      <patternFill patternType="solid">
        <fgColor rgb="FF188F2E"/>
        <bgColor indexed="64"/>
      </patternFill>
    </fill>
    <fill>
      <patternFill patternType="solid">
        <fgColor rgb="FF1F8C2C"/>
        <bgColor indexed="64"/>
      </patternFill>
    </fill>
    <fill>
      <patternFill patternType="solid">
        <fgColor rgb="FF27892B"/>
        <bgColor indexed="64"/>
      </patternFill>
    </fill>
    <fill>
      <patternFill patternType="solid">
        <fgColor rgb="FF308529"/>
        <bgColor indexed="64"/>
      </patternFill>
    </fill>
    <fill>
      <patternFill patternType="solid">
        <fgColor rgb="FF398227"/>
        <bgColor indexed="64"/>
      </patternFill>
    </fill>
    <fill>
      <patternFill patternType="solid">
        <fgColor rgb="FF437E25"/>
        <bgColor indexed="64"/>
      </patternFill>
    </fill>
    <fill>
      <patternFill patternType="solid">
        <fgColor rgb="FF4D7A23"/>
        <bgColor indexed="64"/>
      </patternFill>
    </fill>
    <fill>
      <patternFill patternType="solid">
        <fgColor rgb="FF587521"/>
        <bgColor indexed="64"/>
      </patternFill>
    </fill>
    <fill>
      <patternFill patternType="solid">
        <fgColor rgb="FF63711F"/>
        <bgColor indexed="64"/>
      </patternFill>
    </fill>
    <fill>
      <patternFill patternType="solid">
        <fgColor rgb="FF6E6C1C"/>
        <bgColor indexed="64"/>
      </patternFill>
    </fill>
    <fill>
      <patternFill patternType="solid">
        <fgColor rgb="FF79681A"/>
        <bgColor indexed="64"/>
      </patternFill>
    </fill>
    <fill>
      <patternFill patternType="solid">
        <fgColor rgb="FF856318"/>
        <bgColor indexed="64"/>
      </patternFill>
    </fill>
    <fill>
      <patternFill patternType="solid">
        <fgColor rgb="FF905F16"/>
        <bgColor indexed="64"/>
      </patternFill>
    </fill>
    <fill>
      <patternFill patternType="solid">
        <fgColor rgb="FF9B5A13"/>
        <bgColor indexed="64"/>
      </patternFill>
    </fill>
    <fill>
      <patternFill patternType="solid">
        <fgColor rgb="FFA65611"/>
        <bgColor indexed="64"/>
      </patternFill>
    </fill>
    <fill>
      <patternFill patternType="solid">
        <fgColor rgb="FFB1510F"/>
        <bgColor indexed="64"/>
      </patternFill>
    </fill>
    <fill>
      <patternFill patternType="solid">
        <fgColor rgb="FFBB4D0D"/>
        <bgColor indexed="64"/>
      </patternFill>
    </fill>
    <fill>
      <patternFill patternType="solid">
        <fgColor rgb="FFC5490B"/>
        <bgColor indexed="64"/>
      </patternFill>
    </fill>
    <fill>
      <patternFill patternType="solid">
        <fgColor rgb="FFCE4609"/>
        <bgColor indexed="64"/>
      </patternFill>
    </fill>
    <fill>
      <patternFill patternType="solid">
        <fgColor rgb="FFD74207"/>
        <bgColor indexed="64"/>
      </patternFill>
    </fill>
    <fill>
      <patternFill patternType="solid">
        <fgColor rgb="FFDF3F06"/>
        <bgColor indexed="64"/>
      </patternFill>
    </fill>
    <fill>
      <patternFill patternType="solid">
        <fgColor rgb="FFE63C04"/>
        <bgColor indexed="64"/>
      </patternFill>
    </fill>
    <fill>
      <patternFill patternType="solid">
        <fgColor rgb="FFEC3A03"/>
        <bgColor indexed="64"/>
      </patternFill>
    </fill>
    <fill>
      <patternFill patternType="solid">
        <fgColor rgb="FFF23802"/>
        <bgColor indexed="64"/>
      </patternFill>
    </fill>
    <fill>
      <patternFill patternType="solid">
        <fgColor rgb="FFF63601"/>
        <bgColor indexed="64"/>
      </patternFill>
    </fill>
    <fill>
      <patternFill patternType="solid">
        <fgColor rgb="FFFA3400"/>
        <bgColor indexed="64"/>
      </patternFill>
    </fill>
    <fill>
      <patternFill patternType="solid">
        <fgColor rgb="FFFC33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8C7"/>
        <bgColor indexed="64"/>
      </patternFill>
    </fill>
    <fill>
      <patternFill patternType="solid">
        <fgColor rgb="FF0098A5"/>
        <bgColor indexed="64"/>
      </patternFill>
    </fill>
    <fill>
      <patternFill patternType="solid">
        <fgColor rgb="FF00988C"/>
        <bgColor indexed="64"/>
      </patternFill>
    </fill>
    <fill>
      <patternFill patternType="solid">
        <fgColor rgb="FF009872"/>
        <bgColor indexed="64"/>
      </patternFill>
    </fill>
    <fill>
      <patternFill patternType="solid">
        <fgColor rgb="FF009859"/>
        <bgColor indexed="64"/>
      </patternFill>
    </fill>
    <fill>
      <patternFill patternType="solid">
        <fgColor rgb="FF009844"/>
        <bgColor indexed="64"/>
      </patternFill>
    </fill>
    <fill>
      <patternFill patternType="solid">
        <fgColor rgb="FF009837"/>
        <bgColor indexed="64"/>
      </patternFill>
    </fill>
    <fill>
      <patternFill patternType="solid">
        <fgColor rgb="FF01988C"/>
        <bgColor indexed="64"/>
      </patternFill>
    </fill>
    <fill>
      <patternFill patternType="solid">
        <fgColor rgb="FF019872"/>
        <bgColor indexed="64"/>
      </patternFill>
    </fill>
    <fill>
      <patternFill patternType="solid">
        <fgColor rgb="FF019859"/>
        <bgColor indexed="64"/>
      </patternFill>
    </fill>
    <fill>
      <patternFill patternType="solid">
        <fgColor rgb="FF019844"/>
        <bgColor indexed="64"/>
      </patternFill>
    </fill>
    <fill>
      <patternFill patternType="solid">
        <fgColor rgb="FF019837"/>
        <bgColor indexed="64"/>
      </patternFill>
    </fill>
    <fill>
      <patternFill patternType="solid">
        <fgColor rgb="FF0198A6"/>
        <bgColor indexed="64"/>
      </patternFill>
    </fill>
    <fill>
      <patternFill patternType="solid">
        <fgColor rgb="FF02988C"/>
        <bgColor indexed="64"/>
      </patternFill>
    </fill>
    <fill>
      <patternFill patternType="solid">
        <fgColor rgb="FF039772"/>
        <bgColor indexed="64"/>
      </patternFill>
    </fill>
    <fill>
      <patternFill patternType="solid">
        <fgColor rgb="FF039758"/>
        <bgColor indexed="64"/>
      </patternFill>
    </fill>
    <fill>
      <patternFill patternType="solid">
        <fgColor rgb="FF049744"/>
        <bgColor indexed="64"/>
      </patternFill>
    </fill>
    <fill>
      <patternFill patternType="solid">
        <fgColor rgb="FF049736"/>
        <bgColor indexed="64"/>
      </patternFill>
    </fill>
    <fill>
      <patternFill patternType="solid">
        <fgColor rgb="FF0199CD"/>
        <bgColor indexed="64"/>
      </patternFill>
    </fill>
    <fill>
      <patternFill patternType="solid">
        <fgColor rgb="FF0398A6"/>
        <bgColor indexed="64"/>
      </patternFill>
    </fill>
    <fill>
      <patternFill patternType="solid">
        <fgColor rgb="FF04978D"/>
        <bgColor indexed="64"/>
      </patternFill>
    </fill>
    <fill>
      <patternFill patternType="solid">
        <fgColor rgb="FF059771"/>
        <bgColor indexed="64"/>
      </patternFill>
    </fill>
    <fill>
      <patternFill patternType="solid">
        <fgColor rgb="FF069658"/>
        <bgColor indexed="64"/>
      </patternFill>
    </fill>
    <fill>
      <patternFill patternType="solid">
        <fgColor rgb="FF079643"/>
        <bgColor indexed="64"/>
      </patternFill>
    </fill>
    <fill>
      <patternFill patternType="solid">
        <fgColor rgb="FF079536"/>
        <bgColor indexed="64"/>
      </patternFill>
    </fill>
    <fill>
      <patternFill patternType="solid">
        <fgColor rgb="FF0298CE"/>
        <bgColor indexed="64"/>
      </patternFill>
    </fill>
    <fill>
      <patternFill patternType="solid">
        <fgColor rgb="FF0597A7"/>
        <bgColor indexed="64"/>
      </patternFill>
    </fill>
    <fill>
      <patternFill patternType="solid">
        <fgColor rgb="FF06968D"/>
        <bgColor indexed="64"/>
      </patternFill>
    </fill>
    <fill>
      <patternFill patternType="solid">
        <fgColor rgb="FF089671"/>
        <bgColor indexed="64"/>
      </patternFill>
    </fill>
    <fill>
      <patternFill patternType="solid">
        <fgColor rgb="FF0A9557"/>
        <bgColor indexed="64"/>
      </patternFill>
    </fill>
    <fill>
      <patternFill patternType="solid">
        <fgColor rgb="FF0B9442"/>
        <bgColor indexed="64"/>
      </patternFill>
    </fill>
    <fill>
      <patternFill patternType="solid">
        <fgColor rgb="FF0C9435"/>
        <bgColor indexed="64"/>
      </patternFill>
    </fill>
    <fill>
      <patternFill patternType="solid">
        <fgColor rgb="FF0399CF"/>
        <bgColor indexed="64"/>
      </patternFill>
    </fill>
    <fill>
      <patternFill patternType="solid">
        <fgColor rgb="FF0797A7"/>
        <bgColor indexed="64"/>
      </patternFill>
    </fill>
    <fill>
      <patternFill patternType="solid">
        <fgColor rgb="FF09968D"/>
        <bgColor indexed="64"/>
      </patternFill>
    </fill>
    <fill>
      <patternFill patternType="solid">
        <fgColor rgb="FF0C9471"/>
        <bgColor indexed="64"/>
      </patternFill>
    </fill>
    <fill>
      <patternFill patternType="solid">
        <fgColor rgb="FF0E9357"/>
        <bgColor indexed="64"/>
      </patternFill>
    </fill>
    <fill>
      <patternFill patternType="solid">
        <fgColor rgb="FF109242"/>
        <bgColor indexed="64"/>
      </patternFill>
    </fill>
    <fill>
      <patternFill patternType="solid">
        <fgColor rgb="FF119134"/>
        <bgColor indexed="64"/>
      </patternFill>
    </fill>
    <fill>
      <patternFill patternType="solid">
        <fgColor rgb="FF0499D0"/>
        <bgColor indexed="64"/>
      </patternFill>
    </fill>
    <fill>
      <patternFill patternType="solid">
        <fgColor rgb="FF0996A8"/>
        <bgColor indexed="64"/>
      </patternFill>
    </fill>
    <fill>
      <patternFill patternType="solid">
        <fgColor rgb="FF0C948D"/>
        <bgColor indexed="64"/>
      </patternFill>
    </fill>
    <fill>
      <patternFill patternType="solid">
        <fgColor rgb="FF109371"/>
        <bgColor indexed="64"/>
      </patternFill>
    </fill>
    <fill>
      <patternFill patternType="solid">
        <fgColor rgb="FF139156"/>
        <bgColor indexed="64"/>
      </patternFill>
    </fill>
    <fill>
      <patternFill patternType="solid">
        <fgColor rgb="FF169041"/>
        <bgColor indexed="64"/>
      </patternFill>
    </fill>
    <fill>
      <patternFill patternType="solid">
        <fgColor rgb="FF178F33"/>
        <bgColor indexed="64"/>
      </patternFill>
    </fill>
    <fill>
      <patternFill patternType="solid">
        <fgColor rgb="FF0699D2"/>
        <bgColor indexed="64"/>
      </patternFill>
    </fill>
    <fill>
      <patternFill patternType="solid">
        <fgColor rgb="FF0C95A8"/>
        <bgColor indexed="64"/>
      </patternFill>
    </fill>
    <fill>
      <patternFill patternType="solid">
        <fgColor rgb="FF10938D"/>
        <bgColor indexed="64"/>
      </patternFill>
    </fill>
    <fill>
      <patternFill patternType="solid">
        <fgColor rgb="FF159171"/>
        <bgColor indexed="64"/>
      </patternFill>
    </fill>
    <fill>
      <patternFill patternType="solid">
        <fgColor rgb="FF198F56"/>
        <bgColor indexed="64"/>
      </patternFill>
    </fill>
    <fill>
      <patternFill patternType="solid">
        <fgColor rgb="FF1C8D40"/>
        <bgColor indexed="64"/>
      </patternFill>
    </fill>
    <fill>
      <patternFill patternType="solid">
        <fgColor rgb="FF1E8C31"/>
        <bgColor indexed="64"/>
      </patternFill>
    </fill>
    <fill>
      <patternFill patternType="solid">
        <fgColor rgb="FF0799D3"/>
        <bgColor indexed="64"/>
      </patternFill>
    </fill>
    <fill>
      <patternFill patternType="solid">
        <fgColor rgb="FF0F95A9"/>
        <bgColor indexed="64"/>
      </patternFill>
    </fill>
    <fill>
      <patternFill patternType="solid">
        <fgColor rgb="FF14928E"/>
        <bgColor indexed="64"/>
      </patternFill>
    </fill>
    <fill>
      <patternFill patternType="solid">
        <fgColor rgb="FF1A8F70"/>
        <bgColor indexed="64"/>
      </patternFill>
    </fill>
    <fill>
      <patternFill patternType="solid">
        <fgColor rgb="FF1F8D55"/>
        <bgColor indexed="64"/>
      </patternFill>
    </fill>
    <fill>
      <patternFill patternType="solid">
        <fgColor rgb="FF238B3E"/>
        <bgColor indexed="64"/>
      </patternFill>
    </fill>
    <fill>
      <patternFill patternType="solid">
        <fgColor rgb="FF268930"/>
        <bgColor indexed="64"/>
      </patternFill>
    </fill>
    <fill>
      <patternFill patternType="solid">
        <fgColor rgb="FF0999D5"/>
        <bgColor indexed="64"/>
      </patternFill>
    </fill>
    <fill>
      <patternFill patternType="solid">
        <fgColor rgb="FF1394AA"/>
        <bgColor indexed="64"/>
      </patternFill>
    </fill>
    <fill>
      <patternFill patternType="solid">
        <fgColor rgb="FF19918E"/>
        <bgColor indexed="64"/>
      </patternFill>
    </fill>
    <fill>
      <patternFill patternType="solid">
        <fgColor rgb="FF208D70"/>
        <bgColor indexed="64"/>
      </patternFill>
    </fill>
    <fill>
      <patternFill patternType="solid">
        <fgColor rgb="FF268A54"/>
        <bgColor indexed="64"/>
      </patternFill>
    </fill>
    <fill>
      <patternFill patternType="solid">
        <fgColor rgb="FF2B883D"/>
        <bgColor indexed="64"/>
      </patternFill>
    </fill>
    <fill>
      <patternFill patternType="solid">
        <fgColor rgb="FF2E862E"/>
        <bgColor indexed="64"/>
      </patternFill>
    </fill>
    <fill>
      <patternFill patternType="solid">
        <fgColor rgb="FF0B99D7"/>
        <bgColor indexed="64"/>
      </patternFill>
    </fill>
    <fill>
      <patternFill patternType="solid">
        <fgColor rgb="FF1693AB"/>
        <bgColor indexed="64"/>
      </patternFill>
    </fill>
    <fill>
      <patternFill patternType="solid">
        <fgColor rgb="FF1E8F8E"/>
        <bgColor indexed="64"/>
      </patternFill>
    </fill>
    <fill>
      <patternFill patternType="solid">
        <fgColor rgb="FF268B70"/>
        <bgColor indexed="64"/>
      </patternFill>
    </fill>
    <fill>
      <patternFill patternType="solid">
        <fgColor rgb="FF2D8753"/>
        <bgColor indexed="64"/>
      </patternFill>
    </fill>
    <fill>
      <patternFill patternType="solid">
        <fgColor rgb="FF33843C"/>
        <bgColor indexed="64"/>
      </patternFill>
    </fill>
    <fill>
      <patternFill patternType="solid">
        <fgColor rgb="FF37822C"/>
        <bgColor indexed="64"/>
      </patternFill>
    </fill>
    <fill>
      <patternFill patternType="solid">
        <fgColor rgb="FF0D99D9"/>
        <bgColor indexed="64"/>
      </patternFill>
    </fill>
    <fill>
      <patternFill patternType="solid">
        <fgColor rgb="FF1A92AC"/>
        <bgColor indexed="64"/>
      </patternFill>
    </fill>
    <fill>
      <patternFill patternType="solid">
        <fgColor rgb="FF238D8F"/>
        <bgColor indexed="64"/>
      </patternFill>
    </fill>
    <fill>
      <patternFill patternType="solid">
        <fgColor rgb="FF2C896F"/>
        <bgColor indexed="64"/>
      </patternFill>
    </fill>
    <fill>
      <patternFill patternType="solid">
        <fgColor rgb="FF358452"/>
        <bgColor indexed="64"/>
      </patternFill>
    </fill>
    <fill>
      <patternFill patternType="solid">
        <fgColor rgb="FF3C813A"/>
        <bgColor indexed="64"/>
      </patternFill>
    </fill>
    <fill>
      <patternFill patternType="solid">
        <fgColor rgb="FF417E2B"/>
        <bgColor indexed="64"/>
      </patternFill>
    </fill>
    <fill>
      <patternFill patternType="solid">
        <fgColor rgb="FF0F99DB"/>
        <bgColor indexed="64"/>
      </patternFill>
    </fill>
    <fill>
      <patternFill patternType="solid">
        <fgColor rgb="FF1E91AD"/>
        <bgColor indexed="64"/>
      </patternFill>
    </fill>
    <fill>
      <patternFill patternType="solid">
        <fgColor rgb="FF298C8F"/>
        <bgColor indexed="64"/>
      </patternFill>
    </fill>
    <fill>
      <patternFill patternType="solid">
        <fgColor rgb="FF33866F"/>
        <bgColor indexed="64"/>
      </patternFill>
    </fill>
    <fill>
      <patternFill patternType="solid">
        <fgColor rgb="FF3D8151"/>
        <bgColor indexed="64"/>
      </patternFill>
    </fill>
    <fill>
      <patternFill patternType="solid">
        <fgColor rgb="FF467D39"/>
        <bgColor indexed="64"/>
      </patternFill>
    </fill>
    <fill>
      <patternFill patternType="solid">
        <fgColor rgb="FF4B7A29"/>
        <bgColor indexed="64"/>
      </patternFill>
    </fill>
    <fill>
      <patternFill patternType="solid">
        <fgColor rgb="FF1199DD"/>
        <bgColor indexed="64"/>
      </patternFill>
    </fill>
    <fill>
      <patternFill patternType="solid">
        <fgColor rgb="FF2390AE"/>
        <bgColor indexed="64"/>
      </patternFill>
    </fill>
    <fill>
      <patternFill patternType="solid">
        <fgColor rgb="FF2E8A8F"/>
        <bgColor indexed="64"/>
      </patternFill>
    </fill>
    <fill>
      <patternFill patternType="solid">
        <fgColor rgb="FF3A846F"/>
        <bgColor indexed="64"/>
      </patternFill>
    </fill>
    <fill>
      <patternFill patternType="solid">
        <fgColor rgb="FF467E50"/>
        <bgColor indexed="64"/>
      </patternFill>
    </fill>
    <fill>
      <patternFill patternType="solid">
        <fgColor rgb="FF4F7937"/>
        <bgColor indexed="64"/>
      </patternFill>
    </fill>
    <fill>
      <patternFill patternType="solid">
        <fgColor rgb="FF557627"/>
        <bgColor indexed="64"/>
      </patternFill>
    </fill>
    <fill>
      <patternFill patternType="solid">
        <fgColor rgb="FF1399DF"/>
        <bgColor indexed="64"/>
      </patternFill>
    </fill>
    <fill>
      <patternFill patternType="solid">
        <fgColor rgb="FF278FAF"/>
        <bgColor indexed="64"/>
      </patternFill>
    </fill>
    <fill>
      <patternFill patternType="solid">
        <fgColor rgb="FF348890"/>
        <bgColor indexed="64"/>
      </patternFill>
    </fill>
    <fill>
      <patternFill patternType="solid">
        <fgColor rgb="FF42816E"/>
        <bgColor indexed="64"/>
      </patternFill>
    </fill>
    <fill>
      <patternFill patternType="solid">
        <fgColor rgb="FF4F7B4F"/>
        <bgColor indexed="64"/>
      </patternFill>
    </fill>
    <fill>
      <patternFill patternType="solid">
        <fgColor rgb="FF597535"/>
        <bgColor indexed="64"/>
      </patternFill>
    </fill>
    <fill>
      <patternFill patternType="solid">
        <fgColor rgb="FF607224"/>
        <bgColor indexed="64"/>
      </patternFill>
    </fill>
    <fill>
      <patternFill patternType="solid">
        <fgColor rgb="FF1699E2"/>
        <bgColor indexed="64"/>
      </patternFill>
    </fill>
    <fill>
      <patternFill patternType="solid">
        <fgColor rgb="FF2C8DB0"/>
        <bgColor indexed="64"/>
      </patternFill>
    </fill>
    <fill>
      <patternFill patternType="solid">
        <fgColor rgb="FF3A8690"/>
        <bgColor indexed="64"/>
      </patternFill>
    </fill>
    <fill>
      <patternFill patternType="solid">
        <fgColor rgb="FF497F6E"/>
        <bgColor indexed="64"/>
      </patternFill>
    </fill>
    <fill>
      <patternFill patternType="solid">
        <fgColor rgb="FF58774E"/>
        <bgColor indexed="64"/>
      </patternFill>
    </fill>
    <fill>
      <patternFill patternType="solid">
        <fgColor rgb="FF647233"/>
        <bgColor indexed="64"/>
      </patternFill>
    </fill>
    <fill>
      <patternFill patternType="solid">
        <fgColor rgb="FF6B6E22"/>
        <bgColor indexed="64"/>
      </patternFill>
    </fill>
    <fill>
      <patternFill patternType="solid">
        <fgColor rgb="FF1899E4"/>
        <bgColor indexed="64"/>
      </patternFill>
    </fill>
    <fill>
      <patternFill patternType="solid">
        <fgColor rgb="FF308CB1"/>
        <bgColor indexed="64"/>
      </patternFill>
    </fill>
    <fill>
      <patternFill patternType="solid">
        <fgColor rgb="FF408491"/>
        <bgColor indexed="64"/>
      </patternFill>
    </fill>
    <fill>
      <patternFill patternType="solid">
        <fgColor rgb="FF517C6D"/>
        <bgColor indexed="64"/>
      </patternFill>
    </fill>
    <fill>
      <patternFill patternType="solid">
        <fgColor rgb="FF61744D"/>
        <bgColor indexed="64"/>
      </patternFill>
    </fill>
    <fill>
      <patternFill patternType="solid">
        <fgColor rgb="FF6E6D32"/>
        <bgColor indexed="64"/>
      </patternFill>
    </fill>
    <fill>
      <patternFill patternType="solid">
        <fgColor rgb="FF766920"/>
        <bgColor indexed="64"/>
      </patternFill>
    </fill>
    <fill>
      <patternFill patternType="solid">
        <fgColor rgb="FF1A99E6"/>
        <bgColor indexed="64"/>
      </patternFill>
    </fill>
    <fill>
      <patternFill patternType="solid">
        <fgColor rgb="FF358BB3"/>
        <bgColor indexed="64"/>
      </patternFill>
    </fill>
    <fill>
      <patternFill patternType="solid">
        <fgColor rgb="FF468291"/>
        <bgColor indexed="64"/>
      </patternFill>
    </fill>
    <fill>
      <patternFill patternType="solid">
        <fgColor rgb="FF59796D"/>
        <bgColor indexed="64"/>
      </patternFill>
    </fill>
    <fill>
      <patternFill patternType="solid">
        <fgColor rgb="FF6A714B"/>
        <bgColor indexed="64"/>
      </patternFill>
    </fill>
    <fill>
      <patternFill patternType="solid">
        <fgColor rgb="FF786930"/>
        <bgColor indexed="64"/>
      </patternFill>
    </fill>
    <fill>
      <patternFill patternType="solid">
        <fgColor rgb="FF82651E"/>
        <bgColor indexed="64"/>
      </patternFill>
    </fill>
    <fill>
      <patternFill patternType="solid">
        <fgColor rgb="FF1C99E8"/>
        <bgColor indexed="64"/>
      </patternFill>
    </fill>
    <fill>
      <patternFill patternType="solid">
        <fgColor rgb="FF398AB4"/>
        <bgColor indexed="64"/>
      </patternFill>
    </fill>
    <fill>
      <patternFill patternType="solid">
        <fgColor rgb="FF4C8191"/>
        <bgColor indexed="64"/>
      </patternFill>
    </fill>
    <fill>
      <patternFill patternType="solid">
        <fgColor rgb="FF60776D"/>
        <bgColor indexed="64"/>
      </patternFill>
    </fill>
    <fill>
      <patternFill patternType="solid">
        <fgColor rgb="FF736D4A"/>
        <bgColor indexed="64"/>
      </patternFill>
    </fill>
    <fill>
      <patternFill patternType="solid">
        <fgColor rgb="FF83652E"/>
        <bgColor indexed="64"/>
      </patternFill>
    </fill>
    <fill>
      <patternFill patternType="solid">
        <fgColor rgb="FF8D601C"/>
        <bgColor indexed="64"/>
      </patternFill>
    </fill>
    <fill>
      <patternFill patternType="solid">
        <fgColor rgb="FF1F99EB"/>
        <bgColor indexed="64"/>
      </patternFill>
    </fill>
    <fill>
      <patternFill patternType="solid">
        <fgColor rgb="FF3E89B5"/>
        <bgColor indexed="64"/>
      </patternFill>
    </fill>
    <fill>
      <patternFill patternType="solid">
        <fgColor rgb="FF527F92"/>
        <bgColor indexed="64"/>
      </patternFill>
    </fill>
    <fill>
      <patternFill patternType="solid">
        <fgColor rgb="FF68746C"/>
        <bgColor indexed="64"/>
      </patternFill>
    </fill>
    <fill>
      <patternFill patternType="solid">
        <fgColor rgb="FF7C6A49"/>
        <bgColor indexed="64"/>
      </patternFill>
    </fill>
    <fill>
      <patternFill patternType="solid">
        <fgColor rgb="FF8D612D"/>
        <bgColor indexed="64"/>
      </patternFill>
    </fill>
    <fill>
      <patternFill patternType="solid">
        <fgColor rgb="FF985C1A"/>
        <bgColor indexed="64"/>
      </patternFill>
    </fill>
    <fill>
      <patternFill patternType="solid">
        <fgColor rgb="FF2199ED"/>
        <bgColor indexed="64"/>
      </patternFill>
    </fill>
    <fill>
      <patternFill patternType="solid">
        <fgColor rgb="FF4288B6"/>
        <bgColor indexed="64"/>
      </patternFill>
    </fill>
    <fill>
      <patternFill patternType="solid">
        <fgColor rgb="FF587D92"/>
        <bgColor indexed="64"/>
      </patternFill>
    </fill>
    <fill>
      <patternFill patternType="solid">
        <fgColor rgb="FF6F716C"/>
        <bgColor indexed="64"/>
      </patternFill>
    </fill>
    <fill>
      <patternFill patternType="solid">
        <fgColor rgb="FF856648"/>
        <bgColor indexed="64"/>
      </patternFill>
    </fill>
    <fill>
      <patternFill patternType="solid">
        <fgColor rgb="FF975E2B"/>
        <bgColor indexed="64"/>
      </patternFill>
    </fill>
    <fill>
      <patternFill patternType="solid">
        <fgColor rgb="FFA25818"/>
        <bgColor indexed="64"/>
      </patternFill>
    </fill>
    <fill>
      <patternFill patternType="solid">
        <fgColor rgb="FF2399EF"/>
        <bgColor indexed="64"/>
      </patternFill>
    </fill>
    <fill>
      <patternFill patternType="solid">
        <fgColor rgb="FF4787B7"/>
        <bgColor indexed="64"/>
      </patternFill>
    </fill>
    <fill>
      <patternFill patternType="solid">
        <fgColor rgb="FF5E7B92"/>
        <bgColor indexed="64"/>
      </patternFill>
    </fill>
    <fill>
      <patternFill patternType="solid">
        <fgColor rgb="FF766F6C"/>
        <bgColor indexed="64"/>
      </patternFill>
    </fill>
    <fill>
      <patternFill patternType="solid">
        <fgColor rgb="FF8E6347"/>
        <bgColor indexed="64"/>
      </patternFill>
    </fill>
    <fill>
      <patternFill patternType="solid">
        <fgColor rgb="FFA05A29"/>
        <bgColor indexed="64"/>
      </patternFill>
    </fill>
    <fill>
      <patternFill patternType="solid">
        <fgColor rgb="FFAD5416"/>
        <bgColor indexed="64"/>
      </patternFill>
    </fill>
    <fill>
      <patternFill patternType="solid">
        <fgColor rgb="FF2599F1"/>
        <bgColor indexed="64"/>
      </patternFill>
    </fill>
    <fill>
      <patternFill patternType="solid">
        <fgColor rgb="FF4B86B8"/>
        <bgColor indexed="64"/>
      </patternFill>
    </fill>
    <fill>
      <patternFill patternType="solid">
        <fgColor rgb="FF637993"/>
        <bgColor indexed="64"/>
      </patternFill>
    </fill>
    <fill>
      <patternFill patternType="solid">
        <fgColor rgb="FF7D6C6B"/>
        <bgColor indexed="64"/>
      </patternFill>
    </fill>
    <fill>
      <patternFill patternType="solid">
        <fgColor rgb="FF966046"/>
        <bgColor indexed="64"/>
      </patternFill>
    </fill>
    <fill>
      <patternFill patternType="solid">
        <fgColor rgb="FFAA5628"/>
        <bgColor indexed="64"/>
      </patternFill>
    </fill>
    <fill>
      <patternFill patternType="solid">
        <fgColor rgb="FFB75014"/>
        <bgColor indexed="64"/>
      </patternFill>
    </fill>
    <fill>
      <patternFill patternType="solid">
        <fgColor rgb="FF2799F3"/>
        <bgColor indexed="64"/>
      </patternFill>
    </fill>
    <fill>
      <patternFill patternType="solid">
        <fgColor rgb="FF4F85B9"/>
        <bgColor indexed="64"/>
      </patternFill>
    </fill>
    <fill>
      <patternFill patternType="solid">
        <fgColor rgb="FF687893"/>
        <bgColor indexed="64"/>
      </patternFill>
    </fill>
    <fill>
      <patternFill patternType="solid">
        <fgColor rgb="FF846A6B"/>
        <bgColor indexed="64"/>
      </patternFill>
    </fill>
    <fill>
      <patternFill patternType="solid">
        <fgColor rgb="FF9E5D45"/>
        <bgColor indexed="64"/>
      </patternFill>
    </fill>
    <fill>
      <patternFill patternType="solid">
        <fgColor rgb="FFB35326"/>
        <bgColor indexed="64"/>
      </patternFill>
    </fill>
    <fill>
      <patternFill patternType="solid">
        <fgColor rgb="FFC04C12"/>
        <bgColor indexed="64"/>
      </patternFill>
    </fill>
    <fill>
      <patternFill patternType="solid">
        <fgColor rgb="FF2999F5"/>
        <bgColor indexed="64"/>
      </patternFill>
    </fill>
    <fill>
      <patternFill patternType="solid">
        <fgColor rgb="FF5284BA"/>
        <bgColor indexed="64"/>
      </patternFill>
    </fill>
    <fill>
      <patternFill patternType="solid">
        <fgColor rgb="FF6D7693"/>
        <bgColor indexed="64"/>
      </patternFill>
    </fill>
    <fill>
      <patternFill patternType="solid">
        <fgColor rgb="FF8A686B"/>
        <bgColor indexed="64"/>
      </patternFill>
    </fill>
    <fill>
      <patternFill patternType="solid">
        <fgColor rgb="FFA55A44"/>
        <bgColor indexed="64"/>
      </patternFill>
    </fill>
    <fill>
      <patternFill patternType="solid">
        <fgColor rgb="FFBB4F25"/>
        <bgColor indexed="64"/>
      </patternFill>
    </fill>
    <fill>
      <patternFill patternType="solid">
        <fgColor rgb="FFCA4810"/>
        <bgColor indexed="64"/>
      </patternFill>
    </fill>
    <fill>
      <patternFill patternType="solid">
        <fgColor rgb="FF2B99F7"/>
        <bgColor indexed="64"/>
      </patternFill>
    </fill>
    <fill>
      <patternFill patternType="solid">
        <fgColor rgb="FF5683BB"/>
        <bgColor indexed="64"/>
      </patternFill>
    </fill>
    <fill>
      <patternFill patternType="solid">
        <fgColor rgb="FF727594"/>
        <bgColor indexed="64"/>
      </patternFill>
    </fill>
    <fill>
      <patternFill patternType="solid">
        <fgColor rgb="FF90666A"/>
        <bgColor indexed="64"/>
      </patternFill>
    </fill>
    <fill>
      <patternFill patternType="solid">
        <fgColor rgb="FFAC5843"/>
        <bgColor indexed="64"/>
      </patternFill>
    </fill>
    <fill>
      <patternFill patternType="solid">
        <fgColor rgb="FFC34C23"/>
        <bgColor indexed="64"/>
      </patternFill>
    </fill>
    <fill>
      <patternFill patternType="solid">
        <fgColor rgb="FFD2450F"/>
        <bgColor indexed="64"/>
      </patternFill>
    </fill>
    <fill>
      <patternFill patternType="solid">
        <fgColor rgb="FF2C99F8"/>
        <bgColor indexed="64"/>
      </patternFill>
    </fill>
    <fill>
      <patternFill patternType="solid">
        <fgColor rgb="FF5982BC"/>
        <bgColor indexed="64"/>
      </patternFill>
    </fill>
    <fill>
      <patternFill patternType="solid">
        <fgColor rgb="FF767494"/>
        <bgColor indexed="64"/>
      </patternFill>
    </fill>
    <fill>
      <patternFill patternType="solid">
        <fgColor rgb="FF95646A"/>
        <bgColor indexed="64"/>
      </patternFill>
    </fill>
    <fill>
      <patternFill patternType="solid">
        <fgColor rgb="FFB25542"/>
        <bgColor indexed="64"/>
      </patternFill>
    </fill>
    <fill>
      <patternFill patternType="solid">
        <fgColor rgb="FFCA4A22"/>
        <bgColor indexed="64"/>
      </patternFill>
    </fill>
    <fill>
      <patternFill patternType="solid">
        <fgColor rgb="FFDA420D"/>
        <bgColor indexed="64"/>
      </patternFill>
    </fill>
    <fill>
      <patternFill patternType="solid">
        <fgColor rgb="FF2E99FA"/>
        <bgColor indexed="64"/>
      </patternFill>
    </fill>
    <fill>
      <patternFill patternType="solid">
        <fgColor rgb="FF5C81BC"/>
        <bgColor indexed="64"/>
      </patternFill>
    </fill>
    <fill>
      <patternFill patternType="solid">
        <fgColor rgb="FF7A7294"/>
        <bgColor indexed="64"/>
      </patternFill>
    </fill>
    <fill>
      <patternFill patternType="solid">
        <fgColor rgb="FF9A626A"/>
        <bgColor indexed="64"/>
      </patternFill>
    </fill>
    <fill>
      <patternFill patternType="solid">
        <fgColor rgb="FFB85342"/>
        <bgColor indexed="64"/>
      </patternFill>
    </fill>
    <fill>
      <patternFill patternType="solid">
        <fgColor rgb="FFD14721"/>
        <bgColor indexed="64"/>
      </patternFill>
    </fill>
    <fill>
      <patternFill patternType="solid">
        <fgColor rgb="FFE13F0C"/>
        <bgColor indexed="64"/>
      </patternFill>
    </fill>
    <fill>
      <patternFill patternType="solid">
        <fgColor rgb="FF2F99FB"/>
        <bgColor indexed="64"/>
      </patternFill>
    </fill>
    <fill>
      <patternFill patternType="solid">
        <fgColor rgb="FF5E81BD"/>
        <bgColor indexed="64"/>
      </patternFill>
    </fill>
    <fill>
      <patternFill patternType="solid">
        <fgColor rgb="FF7D7195"/>
        <bgColor indexed="64"/>
      </patternFill>
    </fill>
    <fill>
      <patternFill patternType="solid">
        <fgColor rgb="FF9E6169"/>
        <bgColor indexed="64"/>
      </patternFill>
    </fill>
    <fill>
      <patternFill patternType="solid">
        <fgColor rgb="FFBD5141"/>
        <bgColor indexed="64"/>
      </patternFill>
    </fill>
    <fill>
      <patternFill patternType="solid">
        <fgColor rgb="FFD64520"/>
        <bgColor indexed="64"/>
      </patternFill>
    </fill>
    <fill>
      <patternFill patternType="solid">
        <fgColor rgb="FFE73D0B"/>
        <bgColor indexed="64"/>
      </patternFill>
    </fill>
    <fill>
      <patternFill patternType="solid">
        <fgColor rgb="FF3099FC"/>
        <bgColor indexed="64"/>
      </patternFill>
    </fill>
    <fill>
      <patternFill patternType="solid">
        <fgColor rgb="FF6080BD"/>
        <bgColor indexed="64"/>
      </patternFill>
    </fill>
    <fill>
      <patternFill patternType="solid">
        <fgColor rgb="FF807095"/>
        <bgColor indexed="64"/>
      </patternFill>
    </fill>
    <fill>
      <patternFill patternType="solid">
        <fgColor rgb="FFA26069"/>
        <bgColor indexed="64"/>
      </patternFill>
    </fill>
    <fill>
      <patternFill patternType="solid">
        <fgColor rgb="FFC15041"/>
        <bgColor indexed="64"/>
      </patternFill>
    </fill>
    <fill>
      <patternFill patternType="solid">
        <fgColor rgb="FFDB431F"/>
        <bgColor indexed="64"/>
      </patternFill>
    </fill>
    <fill>
      <patternFill patternType="solid">
        <fgColor rgb="FFEC3A0A"/>
        <bgColor indexed="64"/>
      </patternFill>
    </fill>
    <fill>
      <patternFill patternType="solid">
        <fgColor rgb="FF3199FD"/>
        <bgColor indexed="64"/>
      </patternFill>
    </fill>
    <fill>
      <patternFill patternType="solid">
        <fgColor rgb="FF6280BE"/>
        <bgColor indexed="64"/>
      </patternFill>
    </fill>
    <fill>
      <patternFill patternType="solid">
        <fgColor rgb="FF827095"/>
        <bgColor indexed="64"/>
      </patternFill>
    </fill>
    <fill>
      <patternFill patternType="solid">
        <fgColor rgb="FFA55F69"/>
        <bgColor indexed="64"/>
      </patternFill>
    </fill>
    <fill>
      <patternFill patternType="solid">
        <fgColor rgb="FFC54E40"/>
        <bgColor indexed="64"/>
      </patternFill>
    </fill>
    <fill>
      <patternFill patternType="solid">
        <fgColor rgb="FFDF411F"/>
        <bgColor indexed="64"/>
      </patternFill>
    </fill>
    <fill>
      <patternFill patternType="solid">
        <fgColor rgb="FFF03909"/>
        <bgColor indexed="64"/>
      </patternFill>
    </fill>
    <fill>
      <patternFill patternType="solid">
        <fgColor rgb="FF3299FE"/>
        <bgColor indexed="64"/>
      </patternFill>
    </fill>
    <fill>
      <patternFill patternType="solid">
        <fgColor rgb="FF647FBE"/>
        <bgColor indexed="64"/>
      </patternFill>
    </fill>
    <fill>
      <patternFill patternType="solid">
        <fgColor rgb="FF846F95"/>
        <bgColor indexed="64"/>
      </patternFill>
    </fill>
    <fill>
      <patternFill patternType="solid">
        <fgColor rgb="FFA75E69"/>
        <bgColor indexed="64"/>
      </patternFill>
    </fill>
    <fill>
      <patternFill patternType="solid">
        <fgColor rgb="FFC84D40"/>
        <bgColor indexed="64"/>
      </patternFill>
    </fill>
    <fill>
      <patternFill patternType="solid">
        <fgColor rgb="FFE2401E"/>
        <bgColor indexed="64"/>
      </patternFill>
    </fill>
    <fill>
      <patternFill patternType="solid">
        <fgColor rgb="FFF43708"/>
        <bgColor indexed="64"/>
      </patternFill>
    </fill>
    <fill>
      <patternFill patternType="solid">
        <fgColor rgb="FF657FBF"/>
        <bgColor indexed="64"/>
      </patternFill>
    </fill>
    <fill>
      <patternFill patternType="solid">
        <fgColor rgb="FF866F95"/>
        <bgColor indexed="64"/>
      </patternFill>
    </fill>
    <fill>
      <patternFill patternType="solid">
        <fgColor rgb="FFA95D69"/>
        <bgColor indexed="64"/>
      </patternFill>
    </fill>
    <fill>
      <patternFill patternType="solid">
        <fgColor rgb="FFCA4D3F"/>
        <bgColor indexed="64"/>
      </patternFill>
    </fill>
    <fill>
      <patternFill patternType="solid">
        <fgColor rgb="FFE53F1E"/>
        <bgColor indexed="64"/>
      </patternFill>
    </fill>
    <fill>
      <patternFill patternType="solid">
        <fgColor rgb="FFF63608"/>
        <bgColor indexed="64"/>
      </patternFill>
    </fill>
    <fill>
      <patternFill patternType="solid">
        <fgColor rgb="FF3995F7"/>
        <bgColor indexed="64"/>
      </patternFill>
    </fill>
    <fill>
      <patternFill patternType="solid">
        <fgColor rgb="FF4A8DE1"/>
        <bgColor indexed="64"/>
      </patternFill>
    </fill>
    <fill>
      <patternFill patternType="solid">
        <fgColor rgb="FF876E95"/>
        <bgColor indexed="64"/>
      </patternFill>
    </fill>
    <fill>
      <patternFill patternType="solid">
        <fgColor rgb="FFAA5D69"/>
        <bgColor indexed="64"/>
      </patternFill>
    </fill>
    <fill>
      <patternFill patternType="solid">
        <fgColor rgb="FFCB4C3F"/>
        <bgColor indexed="64"/>
      </patternFill>
    </fill>
    <fill>
      <patternFill patternType="solid">
        <fgColor rgb="FFE63F1D"/>
        <bgColor indexed="64"/>
      </patternFill>
    </fill>
    <fill>
      <patternFill patternType="solid">
        <fgColor rgb="FFF83607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E73E1D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4" fillId="55" borderId="0" xfId="0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292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21" borderId="0" xfId="0" applyNumberFormat="1" applyFont="1" applyFill="1" applyAlignment="1">
      <alignment horizontal="center"/>
    </xf>
    <xf numFmtId="0" fontId="4" fillId="63" borderId="0" xfId="0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2" fontId="4" fillId="65" borderId="0" xfId="0" applyNumberFormat="1" applyFont="1" applyFill="1" applyAlignment="1">
      <alignment horizontal="center"/>
    </xf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22" borderId="0" xfId="0" applyNumberFormat="1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23" borderId="0" xfId="0" applyNumberFormat="1" applyFont="1" applyFill="1" applyAlignment="1">
      <alignment horizontal="center"/>
    </xf>
    <xf numFmtId="0" fontId="4" fillId="74" borderId="0" xfId="0" applyFont="1" applyFill="1" applyAlignment="1">
      <alignment horizontal="center"/>
    </xf>
    <xf numFmtId="0" fontId="4" fillId="75" borderId="0" xfId="0" applyFont="1" applyFill="1"/>
    <xf numFmtId="0" fontId="4" fillId="76" borderId="0" xfId="0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2" fontId="4" fillId="78" borderId="0" xfId="0" applyNumberFormat="1" applyFont="1" applyFill="1" applyAlignment="1">
      <alignment horizontal="center"/>
    </xf>
    <xf numFmtId="0" fontId="4" fillId="79" borderId="0" xfId="0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2" fontId="4" fillId="24" borderId="0" xfId="0" applyNumberFormat="1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0" fontId="4" fillId="82" borderId="0" xfId="0" applyFont="1" applyFill="1"/>
    <xf numFmtId="0" fontId="4" fillId="83" borderId="0" xfId="0" applyFont="1" applyFill="1" applyAlignment="1">
      <alignment horizontal="center"/>
    </xf>
    <xf numFmtId="0" fontId="4" fillId="84" borderId="0" xfId="0" applyFont="1" applyFill="1" applyAlignment="1">
      <alignment horizontal="center"/>
    </xf>
    <xf numFmtId="2" fontId="4" fillId="85" borderId="0" xfId="0" applyNumberFormat="1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0" fontId="4" fillId="87" borderId="0" xfId="0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26" borderId="0" xfId="0" applyNumberFormat="1" applyFont="1" applyFill="1" applyAlignment="1">
      <alignment horizontal="center"/>
    </xf>
    <xf numFmtId="0" fontId="4" fillId="95" borderId="0" xfId="0" applyFont="1" applyFill="1" applyAlignment="1">
      <alignment horizontal="center"/>
    </xf>
    <xf numFmtId="0" fontId="4" fillId="96" borderId="0" xfId="0" applyFont="1" applyFill="1"/>
    <xf numFmtId="0" fontId="4" fillId="97" borderId="0" xfId="0" applyFont="1" applyFill="1" applyAlignment="1">
      <alignment horizontal="center"/>
    </xf>
    <xf numFmtId="0" fontId="4" fillId="98" borderId="0" xfId="0" applyFont="1" applyFill="1" applyAlignment="1">
      <alignment horizontal="center"/>
    </xf>
    <xf numFmtId="2" fontId="4" fillId="99" borderId="0" xfId="0" applyNumberFormat="1" applyFont="1" applyFill="1" applyAlignment="1">
      <alignment horizontal="center"/>
    </xf>
    <xf numFmtId="0" fontId="4" fillId="100" borderId="0" xfId="0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2" fontId="4" fillId="27" borderId="0" xfId="0" applyNumberFormat="1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0" fontId="4" fillId="103" borderId="0" xfId="0" applyFont="1" applyFill="1"/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 applyAlignment="1">
      <alignment horizontal="center"/>
    </xf>
    <xf numFmtId="2" fontId="4" fillId="2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/>
    <xf numFmtId="0" fontId="4" fillId="111" borderId="0" xfId="0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2" fontId="4" fillId="113" borderId="0" xfId="0" applyNumberFormat="1" applyFont="1" applyFill="1" applyAlignment="1">
      <alignment horizontal="center"/>
    </xf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29" borderId="0" xfId="0" applyNumberFormat="1" applyFont="1" applyFill="1" applyAlignment="1">
      <alignment horizontal="center"/>
    </xf>
    <xf numFmtId="0" fontId="4" fillId="116" borderId="0" xfId="0" applyFont="1" applyFill="1" applyAlignment="1">
      <alignment horizontal="center"/>
    </xf>
    <xf numFmtId="0" fontId="4" fillId="117" borderId="0" xfId="0" applyFont="1" applyFill="1"/>
    <xf numFmtId="0" fontId="4" fillId="118" borderId="0" xfId="0" applyFont="1" applyFill="1" applyAlignment="1">
      <alignment horizontal="center"/>
    </xf>
    <xf numFmtId="0" fontId="4" fillId="119" borderId="0" xfId="0" applyFont="1" applyFill="1" applyAlignment="1">
      <alignment horizontal="center"/>
    </xf>
    <xf numFmtId="2" fontId="4" fillId="120" borderId="0" xfId="0" applyNumberFormat="1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0" fontId="4" fillId="122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130" borderId="0" xfId="0" applyFont="1" applyFill="1" applyAlignment="1">
      <alignment horizontal="center"/>
    </xf>
    <xf numFmtId="0" fontId="4" fillId="131" borderId="0" xfId="0" applyFont="1" applyFill="1"/>
    <xf numFmtId="0" fontId="4" fillId="132" borderId="0" xfId="0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2" fontId="4" fillId="134" borderId="0" xfId="0" applyNumberFormat="1" applyFont="1" applyFill="1" applyAlignment="1">
      <alignment horizontal="center"/>
    </xf>
    <xf numFmtId="0" fontId="4" fillId="135" borderId="0" xfId="0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2" fontId="4" fillId="32" borderId="0" xfId="0" applyNumberFormat="1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0" fontId="4" fillId="138" borderId="0" xfId="0" applyFont="1" applyFill="1"/>
    <xf numFmtId="0" fontId="4" fillId="139" borderId="0" xfId="0" applyFont="1" applyFill="1" applyAlignment="1">
      <alignment horizontal="center"/>
    </xf>
    <xf numFmtId="0" fontId="4" fillId="140" borderId="0" xfId="0" applyFont="1" applyFill="1" applyAlignment="1">
      <alignment horizontal="center"/>
    </xf>
    <xf numFmtId="2" fontId="4" fillId="141" borderId="0" xfId="0" applyNumberFormat="1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0" fontId="4" fillId="143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34" borderId="0" xfId="0" applyNumberFormat="1" applyFont="1" applyFill="1" applyAlignment="1">
      <alignment horizontal="center"/>
    </xf>
    <xf numFmtId="0" fontId="4" fillId="151" borderId="0" xfId="0" applyFont="1" applyFill="1" applyAlignment="1">
      <alignment horizontal="center"/>
    </xf>
    <xf numFmtId="0" fontId="4" fillId="152" borderId="0" xfId="0" applyFont="1" applyFill="1"/>
    <xf numFmtId="0" fontId="4" fillId="153" borderId="0" xfId="0" applyFont="1" applyFill="1" applyAlignment="1">
      <alignment horizontal="center"/>
    </xf>
    <xf numFmtId="0" fontId="4" fillId="154" borderId="0" xfId="0" applyFont="1" applyFill="1" applyAlignment="1">
      <alignment horizontal="center"/>
    </xf>
    <xf numFmtId="2" fontId="4" fillId="155" borderId="0" xfId="0" applyNumberFormat="1" applyFont="1" applyFill="1" applyAlignment="1">
      <alignment horizontal="center"/>
    </xf>
    <xf numFmtId="0" fontId="4" fillId="156" borderId="0" xfId="0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2" fontId="4" fillId="35" borderId="0" xfId="0" applyNumberFormat="1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0" fontId="4" fillId="159" borderId="0" xfId="0" applyFont="1" applyFill="1"/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 applyAlignment="1">
      <alignment horizontal="center"/>
    </xf>
    <xf numFmtId="2" fontId="4" fillId="36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/>
    <xf numFmtId="0" fontId="4" fillId="167" borderId="0" xfId="0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2" fontId="4" fillId="169" borderId="0" xfId="0" applyNumberFormat="1" applyFont="1" applyFill="1" applyAlignment="1">
      <alignment horizontal="center"/>
    </xf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37" borderId="0" xfId="0" applyNumberFormat="1" applyFont="1" applyFill="1" applyAlignment="1">
      <alignment horizontal="center"/>
    </xf>
    <xf numFmtId="0" fontId="4" fillId="172" borderId="0" xfId="0" applyFont="1" applyFill="1" applyAlignment="1">
      <alignment horizontal="center"/>
    </xf>
    <xf numFmtId="0" fontId="4" fillId="173" borderId="0" xfId="0" applyFont="1" applyFill="1"/>
    <xf numFmtId="0" fontId="4" fillId="174" borderId="0" xfId="0" applyFont="1" applyFill="1" applyAlignment="1">
      <alignment horizontal="center"/>
    </xf>
    <xf numFmtId="0" fontId="4" fillId="175" borderId="0" xfId="0" applyFont="1" applyFill="1" applyAlignment="1">
      <alignment horizontal="center"/>
    </xf>
    <xf numFmtId="2" fontId="4" fillId="176" borderId="0" xfId="0" applyNumberFormat="1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0" fontId="4" fillId="178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186" borderId="0" xfId="0" applyFont="1" applyFill="1" applyAlignment="1">
      <alignment horizontal="center"/>
    </xf>
    <xf numFmtId="0" fontId="4" fillId="187" borderId="0" xfId="0" applyFont="1" applyFill="1"/>
    <xf numFmtId="0" fontId="4" fillId="188" borderId="0" xfId="0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2" fontId="4" fillId="190" borderId="0" xfId="0" applyNumberFormat="1" applyFont="1" applyFill="1" applyAlignment="1">
      <alignment horizontal="center"/>
    </xf>
    <xf numFmtId="0" fontId="4" fillId="191" borderId="0" xfId="0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2" fontId="4" fillId="40" borderId="0" xfId="0" applyNumberFormat="1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0" fontId="4" fillId="194" borderId="0" xfId="0" applyFont="1" applyFill="1"/>
    <xf numFmtId="0" fontId="4" fillId="195" borderId="0" xfId="0" applyFont="1" applyFill="1" applyAlignment="1">
      <alignment horizontal="center"/>
    </xf>
    <xf numFmtId="0" fontId="4" fillId="196" borderId="0" xfId="0" applyFont="1" applyFill="1" applyAlignment="1">
      <alignment horizontal="center"/>
    </xf>
    <xf numFmtId="2" fontId="4" fillId="197" borderId="0" xfId="0" applyNumberFormat="1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0" fontId="4" fillId="199" borderId="0" xfId="0" applyFont="1" applyFill="1" applyAlignment="1">
      <alignment horizontal="center"/>
    </xf>
    <xf numFmtId="2" fontId="4" fillId="41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207" borderId="0" xfId="0" applyFont="1" applyFill="1" applyAlignment="1">
      <alignment horizontal="center"/>
    </xf>
    <xf numFmtId="0" fontId="4" fillId="208" borderId="0" xfId="0" applyFont="1" applyFill="1"/>
    <xf numFmtId="0" fontId="4" fillId="209" borderId="0" xfId="0" applyFont="1" applyFill="1" applyAlignment="1">
      <alignment horizontal="center"/>
    </xf>
    <xf numFmtId="0" fontId="4" fillId="210" borderId="0" xfId="0" applyFont="1" applyFill="1" applyAlignment="1">
      <alignment horizontal="center"/>
    </xf>
    <xf numFmtId="2" fontId="4" fillId="211" borderId="0" xfId="0" applyNumberFormat="1" applyFont="1" applyFill="1" applyAlignment="1">
      <alignment horizontal="center"/>
    </xf>
    <xf numFmtId="0" fontId="4" fillId="212" borderId="0" xfId="0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2" fontId="4" fillId="43" borderId="0" xfId="0" applyNumberFormat="1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0" fontId="4" fillId="215" borderId="0" xfId="0" applyFont="1" applyFill="1"/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 applyAlignment="1">
      <alignment horizontal="center"/>
    </xf>
    <xf numFmtId="2" fontId="4" fillId="44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/>
    <xf numFmtId="0" fontId="4" fillId="223" borderId="0" xfId="0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2" fontId="4" fillId="225" borderId="0" xfId="0" applyNumberFormat="1" applyFont="1" applyFill="1" applyAlignment="1">
      <alignment horizontal="center"/>
    </xf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228" borderId="0" xfId="0" applyFont="1" applyFill="1" applyAlignment="1">
      <alignment horizontal="center"/>
    </xf>
    <xf numFmtId="0" fontId="4" fillId="229" borderId="0" xfId="0" applyFont="1" applyFill="1"/>
    <xf numFmtId="0" fontId="4" fillId="230" borderId="0" xfId="0" applyFont="1" applyFill="1" applyAlignment="1">
      <alignment horizontal="center"/>
    </xf>
    <xf numFmtId="0" fontId="4" fillId="231" borderId="0" xfId="0" applyFont="1" applyFill="1" applyAlignment="1">
      <alignment horizontal="center"/>
    </xf>
    <xf numFmtId="2" fontId="4" fillId="232" borderId="0" xfId="0" applyNumberFormat="1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0" fontId="4" fillId="234" borderId="0" xfId="0" applyFont="1" applyFill="1" applyAlignment="1">
      <alignment horizontal="center"/>
    </xf>
    <xf numFmtId="2" fontId="4" fillId="46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242" borderId="0" xfId="0" applyFont="1" applyFill="1" applyAlignment="1">
      <alignment horizontal="center"/>
    </xf>
    <xf numFmtId="0" fontId="4" fillId="243" borderId="0" xfId="0" applyFont="1" applyFill="1"/>
    <xf numFmtId="0" fontId="4" fillId="244" borderId="0" xfId="0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2" fontId="4" fillId="246" borderId="0" xfId="0" applyNumberFormat="1" applyFont="1" applyFill="1" applyAlignment="1">
      <alignment horizontal="center"/>
    </xf>
    <xf numFmtId="0" fontId="4" fillId="247" borderId="0" xfId="0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0" fontId="4" fillId="250" borderId="0" xfId="0" applyFont="1" applyFill="1"/>
    <xf numFmtId="0" fontId="4" fillId="251" borderId="0" xfId="0" applyFont="1" applyFill="1" applyAlignment="1">
      <alignment horizontal="center"/>
    </xf>
    <xf numFmtId="0" fontId="4" fillId="252" borderId="0" xfId="0" applyFont="1" applyFill="1" applyAlignment="1">
      <alignment horizontal="center"/>
    </xf>
    <xf numFmtId="2" fontId="4" fillId="253" borderId="0" xfId="0" applyNumberFormat="1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0" fontId="4" fillId="255" borderId="0" xfId="0" applyFont="1" applyFill="1" applyAlignment="1">
      <alignment horizontal="center"/>
    </xf>
    <xf numFmtId="2" fontId="4" fillId="49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263" borderId="0" xfId="0" applyFont="1" applyFill="1" applyAlignment="1">
      <alignment horizontal="center"/>
    </xf>
    <xf numFmtId="0" fontId="4" fillId="264" borderId="0" xfId="0" applyFont="1" applyFill="1"/>
    <xf numFmtId="0" fontId="4" fillId="265" borderId="0" xfId="0" applyFont="1" applyFill="1" applyAlignment="1">
      <alignment horizontal="center"/>
    </xf>
    <xf numFmtId="0" fontId="4" fillId="266" borderId="0" xfId="0" applyFont="1" applyFill="1" applyAlignment="1">
      <alignment horizontal="center"/>
    </xf>
    <xf numFmtId="2" fontId="4" fillId="267" borderId="0" xfId="0" applyNumberFormat="1" applyFont="1" applyFill="1" applyAlignment="1">
      <alignment horizontal="center"/>
    </xf>
    <xf numFmtId="0" fontId="4" fillId="268" borderId="0" xfId="0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2" fontId="4" fillId="51" borderId="0" xfId="0" applyNumberFormat="1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0" fontId="4" fillId="271" borderId="0" xfId="0" applyFont="1" applyFill="1"/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277" borderId="0" xfId="0" applyFont="1" applyFill="1"/>
    <xf numFmtId="0" fontId="4" fillId="278" borderId="0" xfId="0" applyFont="1" applyFill="1" applyAlignment="1">
      <alignment horizontal="center"/>
    </xf>
    <xf numFmtId="0" fontId="4" fillId="279" borderId="0" xfId="0" applyFont="1" applyFill="1" applyAlignment="1">
      <alignment horizontal="center"/>
    </xf>
    <xf numFmtId="2" fontId="4" fillId="280" borderId="0" xfId="0" applyNumberFormat="1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0" fontId="4" fillId="282" borderId="0" xfId="0" applyFont="1" applyFill="1" applyAlignment="1">
      <alignment horizontal="center"/>
    </xf>
    <xf numFmtId="2" fontId="4" fillId="53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54" borderId="0" xfId="0" applyNumberFormat="1" applyFont="1" applyFill="1" applyAlignment="1">
      <alignment horizontal="center"/>
    </xf>
    <xf numFmtId="0" fontId="4" fillId="290" borderId="0" xfId="0" applyFont="1" applyFill="1"/>
    <xf numFmtId="0" fontId="4" fillId="283" borderId="0" xfId="0" applyFont="1" applyFill="1"/>
    <xf numFmtId="0" fontId="4" fillId="284" borderId="0" xfId="0" applyFont="1" applyFill="1"/>
    <xf numFmtId="0" fontId="4" fillId="291" borderId="0" xfId="0" applyFont="1" applyFill="1" applyAlignment="1">
      <alignment horizontal="center"/>
    </xf>
    <xf numFmtId="2" fontId="4" fillId="20" borderId="0" xfId="0" applyNumberFormat="1" applyFont="1" applyFill="1" applyAlignment="1">
      <alignment horizontal="center"/>
    </xf>
    <xf numFmtId="0" fontId="7" fillId="20" borderId="0" xfId="0" applyFont="1" applyFill="1"/>
    <xf numFmtId="0" fontId="8" fillId="293" borderId="0" xfId="0" applyFont="1" applyFill="1"/>
    <xf numFmtId="0" fontId="5" fillId="294" borderId="0" xfId="0" applyFont="1" applyFill="1"/>
    <xf numFmtId="0" fontId="6" fillId="294" borderId="0" xfId="0" applyFont="1" applyFill="1" applyAlignment="1">
      <alignment horizontal="center" vertical="center"/>
    </xf>
    <xf numFmtId="0" fontId="9" fillId="294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FFCC"/>
      <color rgb="FF00CC00"/>
      <color rgb="FF33CC33"/>
      <color rgb="FF0033CC"/>
      <color rgb="FFFF3300"/>
      <color rgb="FF33CCFF"/>
      <color rgb="FF0000FF"/>
      <color rgb="FF0099CC"/>
      <color rgb="FFCC00FF"/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O38" sqref="O38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11" t="s">
        <v>24</v>
      </c>
      <c r="B1" s="311" t="s">
        <v>27</v>
      </c>
      <c r="C1" s="311" t="s">
        <v>25</v>
      </c>
      <c r="D1" s="312" t="s">
        <v>0</v>
      </c>
      <c r="E1" s="312" t="s">
        <v>2</v>
      </c>
      <c r="F1" s="313" t="s">
        <v>1</v>
      </c>
      <c r="G1" s="312" t="s">
        <v>12</v>
      </c>
      <c r="H1" s="312" t="s">
        <v>3</v>
      </c>
      <c r="I1" s="312" t="s">
        <v>4</v>
      </c>
      <c r="J1" s="312" t="s">
        <v>5</v>
      </c>
      <c r="K1" s="14"/>
      <c r="L1" s="15"/>
      <c r="M1" s="15"/>
    </row>
    <row r="2" spans="1:28" ht="13.5" x14ac:dyDescent="0.25">
      <c r="A2" s="36">
        <v>1</v>
      </c>
      <c r="B2" s="37">
        <v>1</v>
      </c>
      <c r="C2" s="38">
        <f>B2-A2</f>
        <v>0</v>
      </c>
      <c r="D2" s="39" t="s">
        <v>48</v>
      </c>
      <c r="E2" s="40">
        <v>4</v>
      </c>
      <c r="F2" s="41">
        <v>780</v>
      </c>
      <c r="G2" s="42">
        <f>CEILING(F2/E2,1)</f>
        <v>195</v>
      </c>
      <c r="H2" s="43">
        <v>4</v>
      </c>
      <c r="I2" s="44">
        <v>0</v>
      </c>
      <c r="J2" s="45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36">
        <v>2</v>
      </c>
      <c r="B3" s="37">
        <v>2</v>
      </c>
      <c r="C3" s="38">
        <f>B3-A3</f>
        <v>0</v>
      </c>
      <c r="D3" s="39" t="s">
        <v>55</v>
      </c>
      <c r="E3" s="46">
        <v>5</v>
      </c>
      <c r="F3" s="47">
        <v>882</v>
      </c>
      <c r="G3" s="48">
        <f>CEILING(F3/E3,1)</f>
        <v>177</v>
      </c>
      <c r="H3" s="49">
        <v>4</v>
      </c>
      <c r="I3" s="50">
        <v>1</v>
      </c>
      <c r="J3" s="51">
        <f>(H3/E3)*100</f>
        <v>80</v>
      </c>
      <c r="K3" s="16"/>
      <c r="L3" s="15">
        <v>45108</v>
      </c>
      <c r="M3" s="15"/>
      <c r="O3" s="1" t="s">
        <v>46</v>
      </c>
      <c r="P3" s="1" t="s">
        <v>54</v>
      </c>
      <c r="R3" s="1">
        <f>VLOOKUP(O3,$D$2:$G$49,3,FALSE)</f>
        <v>468</v>
      </c>
      <c r="S3" s="1">
        <f>VLOOKUP(P3,$D$2:$G$49,3,FALSE)</f>
        <v>374</v>
      </c>
      <c r="T3" s="1">
        <f>VLOOKUP(O3,$D$2:$G$49,4,FALSE)</f>
        <v>94</v>
      </c>
      <c r="U3" s="1">
        <f>VLOOKUP(P3,$D$2:$G$49,4,FALSE)</f>
        <v>94</v>
      </c>
      <c r="V3" s="1">
        <f>IF(T3&gt;U3,T3-U3,U3-T3)</f>
        <v>0</v>
      </c>
      <c r="W3" s="1">
        <f>T3-U3</f>
        <v>0</v>
      </c>
      <c r="Y3" s="1" t="s">
        <v>15</v>
      </c>
    </row>
    <row r="4" spans="1:28" ht="13.5" x14ac:dyDescent="0.25">
      <c r="A4" s="36">
        <v>3</v>
      </c>
      <c r="B4" s="37">
        <v>3</v>
      </c>
      <c r="C4" s="38">
        <f>B4-A4</f>
        <v>0</v>
      </c>
      <c r="D4" s="52" t="s">
        <v>32</v>
      </c>
      <c r="E4" s="53">
        <v>7</v>
      </c>
      <c r="F4" s="54">
        <v>1187</v>
      </c>
      <c r="G4" s="55">
        <f>CEILING(F4/E4,1)</f>
        <v>170</v>
      </c>
      <c r="H4" s="56">
        <v>5</v>
      </c>
      <c r="I4" s="57">
        <v>2</v>
      </c>
      <c r="J4" s="58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144</v>
      </c>
      <c r="P4" s="4">
        <f>IF($V$3&lt;40,$T$3-50,IF($W$3&gt;0,$U$3-10,$U$3-90))</f>
        <v>44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59">
        <v>4</v>
      </c>
      <c r="B5" s="37">
        <v>4</v>
      </c>
      <c r="C5" s="38">
        <f>B5-A5</f>
        <v>0</v>
      </c>
      <c r="D5" s="68" t="s">
        <v>57</v>
      </c>
      <c r="E5" s="69">
        <v>7</v>
      </c>
      <c r="F5" s="70">
        <v>1014</v>
      </c>
      <c r="G5" s="71">
        <f>CEILING(F5/E5,1)</f>
        <v>145</v>
      </c>
      <c r="H5" s="72">
        <v>6</v>
      </c>
      <c r="I5" s="73">
        <v>1</v>
      </c>
      <c r="J5" s="74">
        <f>(H5/E5)*100</f>
        <v>85.714285714285708</v>
      </c>
      <c r="K5" s="16"/>
      <c r="L5" s="15">
        <v>45032</v>
      </c>
      <c r="M5" s="15"/>
    </row>
    <row r="6" spans="1:28" ht="13.5" x14ac:dyDescent="0.25">
      <c r="A6" s="67">
        <v>5</v>
      </c>
      <c r="B6" s="37">
        <v>5</v>
      </c>
      <c r="C6" s="38">
        <f>B6-A6</f>
        <v>0</v>
      </c>
      <c r="D6" s="116" t="s">
        <v>43</v>
      </c>
      <c r="E6" s="117">
        <v>5</v>
      </c>
      <c r="F6" s="118">
        <v>715</v>
      </c>
      <c r="G6" s="119">
        <f>CEILING(F6/E6,1)</f>
        <v>143</v>
      </c>
      <c r="H6" s="120">
        <v>4</v>
      </c>
      <c r="I6" s="121">
        <v>1</v>
      </c>
      <c r="J6" s="122">
        <f>(H6/E6)*100</f>
        <v>80</v>
      </c>
      <c r="K6" s="16"/>
      <c r="L6" s="15">
        <v>45150.965655439817</v>
      </c>
      <c r="M6" s="15"/>
    </row>
    <row r="7" spans="1:28" ht="13.5" x14ac:dyDescent="0.25">
      <c r="A7" s="75">
        <v>6</v>
      </c>
      <c r="B7" s="37">
        <v>6</v>
      </c>
      <c r="C7" s="38">
        <f>B7-A7</f>
        <v>0</v>
      </c>
      <c r="D7" s="76" t="s">
        <v>38</v>
      </c>
      <c r="E7" s="77">
        <v>2</v>
      </c>
      <c r="F7" s="78">
        <v>273</v>
      </c>
      <c r="G7" s="79">
        <f>CEILING(F7/E7,1)</f>
        <v>137</v>
      </c>
      <c r="H7" s="80">
        <v>1</v>
      </c>
      <c r="I7" s="81">
        <v>1</v>
      </c>
      <c r="J7" s="82">
        <f>(H7/E7)*100</f>
        <v>50</v>
      </c>
      <c r="K7" s="16"/>
      <c r="L7" s="15">
        <v>45024</v>
      </c>
      <c r="M7" s="15"/>
    </row>
    <row r="8" spans="1:28" ht="13.5" x14ac:dyDescent="0.25">
      <c r="A8" s="83">
        <v>7</v>
      </c>
      <c r="B8" s="37">
        <v>7</v>
      </c>
      <c r="C8" s="38">
        <f>B8-A8</f>
        <v>0</v>
      </c>
      <c r="D8" s="84" t="s">
        <v>59</v>
      </c>
      <c r="E8" s="85">
        <v>8</v>
      </c>
      <c r="F8" s="86">
        <v>1032</v>
      </c>
      <c r="G8" s="87">
        <f>CEILING(F8/E8,1)</f>
        <v>129</v>
      </c>
      <c r="H8" s="88">
        <v>6</v>
      </c>
      <c r="I8" s="89">
        <v>2</v>
      </c>
      <c r="J8" s="90">
        <f>(H8/E8)*100</f>
        <v>75</v>
      </c>
      <c r="K8" s="16"/>
      <c r="L8" s="15">
        <v>45136.552691435187</v>
      </c>
      <c r="M8" s="15"/>
    </row>
    <row r="9" spans="1:28" ht="13.5" x14ac:dyDescent="0.25">
      <c r="A9" s="91">
        <v>8</v>
      </c>
      <c r="B9" s="37">
        <v>8</v>
      </c>
      <c r="C9" s="38">
        <f>B9-A9</f>
        <v>0</v>
      </c>
      <c r="D9" s="92" t="s">
        <v>49</v>
      </c>
      <c r="E9" s="93">
        <v>2</v>
      </c>
      <c r="F9" s="94">
        <v>250</v>
      </c>
      <c r="G9" s="95">
        <f>CEILING(F9/E9,1)</f>
        <v>125</v>
      </c>
      <c r="H9" s="96">
        <v>1</v>
      </c>
      <c r="I9" s="97">
        <v>1</v>
      </c>
      <c r="J9" s="98">
        <f>(H9/E9)*100</f>
        <v>50</v>
      </c>
      <c r="K9" s="16"/>
      <c r="L9" s="15">
        <v>44859</v>
      </c>
      <c r="M9" s="15"/>
    </row>
    <row r="10" spans="1:28" ht="13.5" x14ac:dyDescent="0.25">
      <c r="A10" s="99">
        <v>9</v>
      </c>
      <c r="B10" s="37">
        <v>9</v>
      </c>
      <c r="C10" s="38">
        <f>B10-A10</f>
        <v>0</v>
      </c>
      <c r="D10" s="100" t="s">
        <v>45</v>
      </c>
      <c r="E10" s="101">
        <v>2</v>
      </c>
      <c r="F10" s="102">
        <v>250</v>
      </c>
      <c r="G10" s="103">
        <f>CEILING(F10/E10,1)</f>
        <v>125</v>
      </c>
      <c r="H10" s="104">
        <v>1</v>
      </c>
      <c r="I10" s="105">
        <v>1</v>
      </c>
      <c r="J10" s="106">
        <f>(H10/E10)*100</f>
        <v>50</v>
      </c>
      <c r="K10" s="16"/>
      <c r="L10" s="15">
        <v>44871</v>
      </c>
      <c r="M10" s="15"/>
      <c r="R10" s="1" t="s">
        <v>31</v>
      </c>
    </row>
    <row r="11" spans="1:28" ht="13.5" x14ac:dyDescent="0.25">
      <c r="A11" s="107">
        <v>10</v>
      </c>
      <c r="B11" s="37">
        <v>10</v>
      </c>
      <c r="C11" s="38">
        <f>B11-A11</f>
        <v>0</v>
      </c>
      <c r="D11" s="60" t="s">
        <v>61</v>
      </c>
      <c r="E11" s="61">
        <v>3</v>
      </c>
      <c r="F11" s="62">
        <v>370</v>
      </c>
      <c r="G11" s="63">
        <f>CEILING(F11/E11,1)</f>
        <v>124</v>
      </c>
      <c r="H11" s="64">
        <v>1</v>
      </c>
      <c r="I11" s="65">
        <v>2</v>
      </c>
      <c r="J11" s="66">
        <f>(H11/E11)*100</f>
        <v>33.333333333333329</v>
      </c>
      <c r="K11" s="16"/>
      <c r="L11" s="15">
        <v>45150.965509027781</v>
      </c>
      <c r="M11" s="15"/>
    </row>
    <row r="12" spans="1:28" ht="13.5" x14ac:dyDescent="0.25">
      <c r="A12" s="115">
        <v>11</v>
      </c>
      <c r="B12" s="37">
        <v>12</v>
      </c>
      <c r="C12" s="38">
        <f>B12-A12</f>
        <v>1</v>
      </c>
      <c r="D12" s="108" t="s">
        <v>51</v>
      </c>
      <c r="E12" s="109">
        <v>14</v>
      </c>
      <c r="F12" s="110">
        <v>1555</v>
      </c>
      <c r="G12" s="111">
        <f>CEILING(F12/E12,1)</f>
        <v>112</v>
      </c>
      <c r="H12" s="112">
        <v>6</v>
      </c>
      <c r="I12" s="113">
        <v>8</v>
      </c>
      <c r="J12" s="114">
        <f>(H12/E12)*100</f>
        <v>42.857142857142854</v>
      </c>
      <c r="K12" s="16"/>
      <c r="L12" s="15">
        <v>45147.51682060185</v>
      </c>
      <c r="M12" s="15"/>
    </row>
    <row r="13" spans="1:28" ht="13.5" x14ac:dyDescent="0.25">
      <c r="A13" s="123">
        <v>12</v>
      </c>
      <c r="B13" s="37">
        <v>13</v>
      </c>
      <c r="C13" s="38">
        <f>B13-A13</f>
        <v>1</v>
      </c>
      <c r="D13" s="148" t="s">
        <v>28</v>
      </c>
      <c r="E13" s="149">
        <v>10</v>
      </c>
      <c r="F13" s="150">
        <v>1103</v>
      </c>
      <c r="G13" s="151">
        <f>CEILING(F13/E13,1)</f>
        <v>111</v>
      </c>
      <c r="H13" s="152">
        <v>4</v>
      </c>
      <c r="I13" s="153">
        <v>6</v>
      </c>
      <c r="J13" s="154">
        <f>(H13/E13)*100</f>
        <v>40</v>
      </c>
      <c r="K13" s="16"/>
      <c r="L13" s="15">
        <v>45144.807287847223</v>
      </c>
      <c r="M13" s="15"/>
      <c r="N13" s="1" t="s">
        <v>13</v>
      </c>
      <c r="O13" s="4">
        <v>166</v>
      </c>
      <c r="P13" s="4">
        <v>26</v>
      </c>
      <c r="Y13" s="1">
        <v>85</v>
      </c>
      <c r="Z13" s="1">
        <v>-5</v>
      </c>
    </row>
    <row r="14" spans="1:28" ht="13.5" x14ac:dyDescent="0.25">
      <c r="A14" s="131">
        <v>13</v>
      </c>
      <c r="B14" s="37">
        <v>14</v>
      </c>
      <c r="C14" s="38">
        <f>B14-A14</f>
        <v>1</v>
      </c>
      <c r="D14" s="132" t="s">
        <v>35</v>
      </c>
      <c r="E14" s="133">
        <v>15</v>
      </c>
      <c r="F14" s="134">
        <v>1592</v>
      </c>
      <c r="G14" s="135">
        <f>CEILING(F14/E14,1)</f>
        <v>107</v>
      </c>
      <c r="H14" s="136">
        <v>8</v>
      </c>
      <c r="I14" s="137">
        <v>7</v>
      </c>
      <c r="J14" s="138">
        <f>(H14/E14)*100</f>
        <v>53.333333333333336</v>
      </c>
      <c r="K14" s="16"/>
      <c r="L14" s="15">
        <v>45018</v>
      </c>
      <c r="M14" s="15"/>
      <c r="N14" s="1" t="s">
        <v>22</v>
      </c>
      <c r="O14" s="2">
        <v>302</v>
      </c>
      <c r="P14" s="2">
        <v>348</v>
      </c>
    </row>
    <row r="15" spans="1:28" ht="13.5" x14ac:dyDescent="0.25">
      <c r="A15" s="139">
        <v>14</v>
      </c>
      <c r="B15" s="37">
        <v>15</v>
      </c>
      <c r="C15" s="38">
        <f>B15-A15</f>
        <v>1</v>
      </c>
      <c r="D15" s="140" t="s">
        <v>56</v>
      </c>
      <c r="E15" s="141">
        <v>9</v>
      </c>
      <c r="F15" s="142">
        <v>947</v>
      </c>
      <c r="G15" s="143">
        <f>CEILING(F15/E15,1)</f>
        <v>106</v>
      </c>
      <c r="H15" s="144">
        <v>4</v>
      </c>
      <c r="I15" s="145">
        <v>4</v>
      </c>
      <c r="J15" s="146">
        <f>(H15/E15)*100</f>
        <v>44.444444444444443</v>
      </c>
      <c r="K15" s="16"/>
      <c r="L15" s="15">
        <v>45124.378568287037</v>
      </c>
      <c r="M15" s="15"/>
      <c r="N15" s="1" t="s">
        <v>23</v>
      </c>
      <c r="O15" s="310">
        <f>SUM(O13:O14)</f>
        <v>468</v>
      </c>
      <c r="P15" s="309">
        <f>SUM(P13:P14)</f>
        <v>374</v>
      </c>
    </row>
    <row r="16" spans="1:28" ht="13.5" x14ac:dyDescent="0.25">
      <c r="A16" s="147">
        <v>15</v>
      </c>
      <c r="B16" s="37">
        <v>16</v>
      </c>
      <c r="C16" s="38">
        <f>B16-A16</f>
        <v>1</v>
      </c>
      <c r="D16" s="156" t="s">
        <v>42</v>
      </c>
      <c r="E16" s="157">
        <v>14</v>
      </c>
      <c r="F16" s="158">
        <v>1450</v>
      </c>
      <c r="G16" s="159">
        <f>CEILING(F16/E16,1)</f>
        <v>104</v>
      </c>
      <c r="H16" s="160">
        <v>8</v>
      </c>
      <c r="I16" s="161">
        <v>6</v>
      </c>
      <c r="J16" s="162">
        <f>(H16/E16)*100</f>
        <v>57.142857142857139</v>
      </c>
      <c r="K16" s="16"/>
      <c r="L16" s="15">
        <v>44821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55">
        <v>16</v>
      </c>
      <c r="B17" s="37">
        <v>17</v>
      </c>
      <c r="C17" s="38">
        <f>B17-A17</f>
        <v>1</v>
      </c>
      <c r="D17" s="164" t="s">
        <v>29</v>
      </c>
      <c r="E17" s="165">
        <v>12</v>
      </c>
      <c r="F17" s="166">
        <v>1215</v>
      </c>
      <c r="G17" s="167">
        <f>CEILING(F17/E17,1)</f>
        <v>102</v>
      </c>
      <c r="H17" s="168">
        <v>7</v>
      </c>
      <c r="I17" s="169">
        <v>5</v>
      </c>
      <c r="J17" s="170">
        <f>(H17/E17)*100</f>
        <v>58.333333333333336</v>
      </c>
      <c r="K17" s="16"/>
      <c r="L17" s="15">
        <v>44814</v>
      </c>
      <c r="M17" s="15"/>
      <c r="Z17" s="1" t="s">
        <v>18</v>
      </c>
      <c r="AA17" s="1" t="s">
        <v>17</v>
      </c>
    </row>
    <row r="18" spans="1:27" ht="13.5" x14ac:dyDescent="0.25">
      <c r="A18" s="163">
        <v>17</v>
      </c>
      <c r="B18" s="37">
        <v>18</v>
      </c>
      <c r="C18" s="38">
        <f>B18-A18</f>
        <v>1</v>
      </c>
      <c r="D18" s="172" t="s">
        <v>60</v>
      </c>
      <c r="E18" s="173">
        <v>5</v>
      </c>
      <c r="F18" s="174">
        <v>503</v>
      </c>
      <c r="G18" s="175">
        <f>CEILING(F18/E18,1)</f>
        <v>101</v>
      </c>
      <c r="H18" s="176">
        <v>2</v>
      </c>
      <c r="I18" s="177">
        <v>3</v>
      </c>
      <c r="J18" s="178">
        <f>(H18/E18)*100</f>
        <v>40</v>
      </c>
      <c r="K18" s="16"/>
      <c r="L18" s="15">
        <v>45080</v>
      </c>
      <c r="M18" s="15"/>
      <c r="Z18" s="1" t="s">
        <v>16</v>
      </c>
      <c r="AA18" s="1" t="s">
        <v>17</v>
      </c>
    </row>
    <row r="19" spans="1:27" ht="13.5" x14ac:dyDescent="0.25">
      <c r="A19" s="171">
        <v>18</v>
      </c>
      <c r="B19" s="37">
        <v>19</v>
      </c>
      <c r="C19" s="38">
        <f>B19-A19</f>
        <v>1</v>
      </c>
      <c r="D19" s="180" t="s">
        <v>39</v>
      </c>
      <c r="E19" s="181">
        <v>12</v>
      </c>
      <c r="F19" s="182">
        <v>1212</v>
      </c>
      <c r="G19" s="183">
        <f>CEILING(F19/E19,1)</f>
        <v>101</v>
      </c>
      <c r="H19" s="184">
        <v>6</v>
      </c>
      <c r="I19" s="185">
        <v>6</v>
      </c>
      <c r="J19" s="186">
        <f>(H19/E19)*100</f>
        <v>50</v>
      </c>
      <c r="K19" s="16"/>
      <c r="L19" s="15">
        <v>45136.552764120373</v>
      </c>
      <c r="M19" s="15"/>
      <c r="O19" s="3"/>
    </row>
    <row r="20" spans="1:27" ht="13.5" x14ac:dyDescent="0.25">
      <c r="A20" s="179">
        <v>19</v>
      </c>
      <c r="B20" s="37">
        <v>20</v>
      </c>
      <c r="C20" s="38">
        <f>B20-A20</f>
        <v>1</v>
      </c>
      <c r="D20" s="188" t="s">
        <v>36</v>
      </c>
      <c r="E20" s="189">
        <v>15</v>
      </c>
      <c r="F20" s="190">
        <v>1492</v>
      </c>
      <c r="G20" s="191">
        <f>CEILING(F20/E20,1)</f>
        <v>100</v>
      </c>
      <c r="H20" s="192">
        <v>6</v>
      </c>
      <c r="I20" s="193">
        <v>9</v>
      </c>
      <c r="J20" s="194">
        <f>(H20/E20)*100</f>
        <v>40</v>
      </c>
      <c r="K20" s="16"/>
      <c r="L20" s="15">
        <v>44807</v>
      </c>
      <c r="M20" s="15"/>
    </row>
    <row r="21" spans="1:27" ht="13.5" x14ac:dyDescent="0.25">
      <c r="A21" s="187">
        <v>20</v>
      </c>
      <c r="B21" s="37">
        <v>21</v>
      </c>
      <c r="C21" s="38">
        <f>B21-A21</f>
        <v>1</v>
      </c>
      <c r="D21" s="196" t="s">
        <v>37</v>
      </c>
      <c r="E21" s="197">
        <v>6</v>
      </c>
      <c r="F21" s="198">
        <v>579</v>
      </c>
      <c r="G21" s="199">
        <f>CEILING(F21/E21,1)</f>
        <v>97</v>
      </c>
      <c r="H21" s="200">
        <v>2</v>
      </c>
      <c r="I21" s="201">
        <v>4</v>
      </c>
      <c r="J21" s="202">
        <f>(H21/E21)*100</f>
        <v>33.333333333333329</v>
      </c>
      <c r="K21" s="16"/>
      <c r="L21" s="15">
        <v>45038</v>
      </c>
      <c r="M21" s="15"/>
      <c r="O21" s="9" t="s">
        <v>30</v>
      </c>
      <c r="P21" s="8">
        <f ca="1">NOW()</f>
        <v>45151.57899386574</v>
      </c>
    </row>
    <row r="22" spans="1:27" ht="13.5" x14ac:dyDescent="0.25">
      <c r="A22" s="195">
        <v>21</v>
      </c>
      <c r="B22" s="37">
        <v>11</v>
      </c>
      <c r="C22" s="38">
        <f>B22-A22</f>
        <v>-10</v>
      </c>
      <c r="D22" s="124" t="s">
        <v>54</v>
      </c>
      <c r="E22" s="125">
        <v>4</v>
      </c>
      <c r="F22" s="126">
        <v>374</v>
      </c>
      <c r="G22" s="127">
        <f>CEILING(F22/E22,1)</f>
        <v>94</v>
      </c>
      <c r="H22" s="128">
        <v>2</v>
      </c>
      <c r="I22" s="129">
        <v>2</v>
      </c>
      <c r="J22" s="130">
        <f>(H22/E22)*100</f>
        <v>50</v>
      </c>
      <c r="K22" s="16"/>
      <c r="L22" s="15">
        <v>45151.578629166666</v>
      </c>
      <c r="M22" s="15"/>
    </row>
    <row r="23" spans="1:27" ht="13.5" x14ac:dyDescent="0.25">
      <c r="A23" s="203">
        <v>22</v>
      </c>
      <c r="B23" s="37">
        <v>24</v>
      </c>
      <c r="C23" s="38">
        <f>B23-A23</f>
        <v>2</v>
      </c>
      <c r="D23" s="220" t="s">
        <v>46</v>
      </c>
      <c r="E23" s="221">
        <v>5</v>
      </c>
      <c r="F23" s="222">
        <v>468</v>
      </c>
      <c r="G23" s="223">
        <f>CEILING(F23/E23,1)</f>
        <v>94</v>
      </c>
      <c r="H23" s="224">
        <v>2</v>
      </c>
      <c r="I23" s="225">
        <v>3</v>
      </c>
      <c r="J23" s="226">
        <f>(H23/E23)*100</f>
        <v>40</v>
      </c>
      <c r="K23" s="16"/>
      <c r="L23" s="15">
        <v>45151.578629166666</v>
      </c>
      <c r="M23" s="15"/>
    </row>
    <row r="24" spans="1:27" ht="13.5" x14ac:dyDescent="0.25">
      <c r="A24" s="211">
        <v>23</v>
      </c>
      <c r="B24" s="37">
        <v>22</v>
      </c>
      <c r="C24" s="38">
        <f>B24-A24</f>
        <v>-1</v>
      </c>
      <c r="D24" s="204" t="s">
        <v>33</v>
      </c>
      <c r="E24" s="205">
        <v>4</v>
      </c>
      <c r="F24" s="206">
        <v>328</v>
      </c>
      <c r="G24" s="207">
        <f>CEILING(F24/E24,1)</f>
        <v>82</v>
      </c>
      <c r="H24" s="208">
        <v>2</v>
      </c>
      <c r="I24" s="209">
        <v>2</v>
      </c>
      <c r="J24" s="210">
        <f>(H24/E24)*100</f>
        <v>50</v>
      </c>
      <c r="K24" s="16"/>
      <c r="L24" s="15">
        <v>44807</v>
      </c>
      <c r="M24" s="15"/>
    </row>
    <row r="25" spans="1:27" ht="13.5" x14ac:dyDescent="0.25">
      <c r="A25" s="219">
        <v>24</v>
      </c>
      <c r="B25" s="37">
        <v>23</v>
      </c>
      <c r="C25" s="38">
        <f>B25-A25</f>
        <v>-1</v>
      </c>
      <c r="D25" s="212" t="s">
        <v>47</v>
      </c>
      <c r="E25" s="213">
        <v>8</v>
      </c>
      <c r="F25" s="214">
        <v>641</v>
      </c>
      <c r="G25" s="215">
        <f>CEILING(F25/E25,1)</f>
        <v>81</v>
      </c>
      <c r="H25" s="216">
        <v>4</v>
      </c>
      <c r="I25" s="217">
        <v>4</v>
      </c>
      <c r="J25" s="218">
        <f>(H25/E25)*100</f>
        <v>50</v>
      </c>
      <c r="K25" s="16"/>
      <c r="L25" s="15">
        <v>45080</v>
      </c>
      <c r="M25" s="15"/>
    </row>
    <row r="26" spans="1:27" ht="13.5" x14ac:dyDescent="0.25">
      <c r="A26" s="227">
        <v>25</v>
      </c>
      <c r="B26" s="37">
        <v>25</v>
      </c>
      <c r="C26" s="38">
        <f>B26-A26</f>
        <v>0</v>
      </c>
      <c r="D26" s="228" t="s">
        <v>58</v>
      </c>
      <c r="E26" s="229">
        <v>4</v>
      </c>
      <c r="F26" s="230">
        <v>278</v>
      </c>
      <c r="G26" s="231">
        <f>CEILING(F26/E26,1)</f>
        <v>70</v>
      </c>
      <c r="H26" s="232">
        <v>1</v>
      </c>
      <c r="I26" s="233">
        <v>3</v>
      </c>
      <c r="J26" s="234">
        <f>(H26/E26)*100</f>
        <v>25</v>
      </c>
      <c r="K26" s="16"/>
      <c r="L26" s="15">
        <v>44941</v>
      </c>
      <c r="M26" s="15"/>
    </row>
    <row r="27" spans="1:27" ht="13.5" x14ac:dyDescent="0.25">
      <c r="A27" s="235">
        <v>26</v>
      </c>
      <c r="B27" s="37">
        <v>26</v>
      </c>
      <c r="C27" s="38">
        <f>B27-A27</f>
        <v>0</v>
      </c>
      <c r="D27" s="236" t="s">
        <v>40</v>
      </c>
      <c r="E27" s="237">
        <v>5</v>
      </c>
      <c r="F27" s="238">
        <v>303</v>
      </c>
      <c r="G27" s="239">
        <f>CEILING(F27/E27,1)</f>
        <v>61</v>
      </c>
      <c r="H27" s="240">
        <v>1</v>
      </c>
      <c r="I27" s="241">
        <v>4</v>
      </c>
      <c r="J27" s="242">
        <f>(H27/E27)*100</f>
        <v>20</v>
      </c>
      <c r="K27" s="16"/>
      <c r="L27" s="15">
        <v>45059</v>
      </c>
      <c r="M27" s="15"/>
    </row>
    <row r="28" spans="1:27" ht="13.5" x14ac:dyDescent="0.25">
      <c r="A28" s="243">
        <v>27</v>
      </c>
      <c r="B28" s="37">
        <v>27</v>
      </c>
      <c r="C28" s="38">
        <f>B28-A28</f>
        <v>0</v>
      </c>
      <c r="D28" s="244" t="s">
        <v>53</v>
      </c>
      <c r="E28" s="245">
        <v>9</v>
      </c>
      <c r="F28" s="246">
        <v>538</v>
      </c>
      <c r="G28" s="247">
        <f>CEILING(F28/E28,1)</f>
        <v>60</v>
      </c>
      <c r="H28" s="248">
        <v>3</v>
      </c>
      <c r="I28" s="249">
        <v>6</v>
      </c>
      <c r="J28" s="250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51">
        <v>28</v>
      </c>
      <c r="B29" s="37">
        <v>28</v>
      </c>
      <c r="C29" s="38">
        <f>B29-A29</f>
        <v>0</v>
      </c>
      <c r="D29" s="252" t="s">
        <v>41</v>
      </c>
      <c r="E29" s="253">
        <v>1</v>
      </c>
      <c r="F29" s="254">
        <v>50</v>
      </c>
      <c r="G29" s="255">
        <f>CEILING(F29/E29,1)</f>
        <v>50</v>
      </c>
      <c r="H29" s="256">
        <v>0</v>
      </c>
      <c r="I29" s="257">
        <v>1</v>
      </c>
      <c r="J29" s="258">
        <f>(H29/E29)*100</f>
        <v>0</v>
      </c>
      <c r="K29" s="16"/>
      <c r="L29" s="15">
        <v>44835</v>
      </c>
      <c r="M29" s="15"/>
    </row>
    <row r="30" spans="1:27" ht="13.5" x14ac:dyDescent="0.25">
      <c r="A30" s="259">
        <v>29</v>
      </c>
      <c r="B30" s="37">
        <v>29</v>
      </c>
      <c r="C30" s="38">
        <f>B30-A30</f>
        <v>0</v>
      </c>
      <c r="D30" s="260" t="s">
        <v>44</v>
      </c>
      <c r="E30" s="261">
        <v>1</v>
      </c>
      <c r="F30" s="262">
        <v>50</v>
      </c>
      <c r="G30" s="263">
        <f>CEILING(F30/E30,1)</f>
        <v>50</v>
      </c>
      <c r="H30" s="264">
        <v>0</v>
      </c>
      <c r="I30" s="265">
        <v>1</v>
      </c>
      <c r="J30" s="266">
        <f>(H30/E30)*100</f>
        <v>0</v>
      </c>
      <c r="K30" s="16"/>
      <c r="L30" s="15">
        <v>44836</v>
      </c>
      <c r="M30" s="15"/>
    </row>
    <row r="31" spans="1:27" ht="13.5" x14ac:dyDescent="0.25">
      <c r="A31" s="267">
        <v>30</v>
      </c>
      <c r="B31" s="37">
        <v>30</v>
      </c>
      <c r="C31" s="38">
        <f>B31-A31</f>
        <v>0</v>
      </c>
      <c r="D31" s="268" t="s">
        <v>50</v>
      </c>
      <c r="E31" s="269">
        <v>1</v>
      </c>
      <c r="F31" s="270">
        <v>50</v>
      </c>
      <c r="G31" s="271">
        <f>CEILING(F31/E31,1)</f>
        <v>50</v>
      </c>
      <c r="H31" s="272">
        <v>0</v>
      </c>
      <c r="I31" s="273">
        <v>1</v>
      </c>
      <c r="J31" s="274">
        <f>(H31/E31)*100</f>
        <v>0</v>
      </c>
      <c r="K31" s="16"/>
      <c r="L31" s="15">
        <v>44843</v>
      </c>
      <c r="M31" s="15"/>
    </row>
    <row r="32" spans="1:27" ht="13.5" x14ac:dyDescent="0.25">
      <c r="A32" s="275">
        <v>31</v>
      </c>
      <c r="B32" s="37">
        <v>31</v>
      </c>
      <c r="C32" s="38">
        <f>B32-A32</f>
        <v>0</v>
      </c>
      <c r="D32" s="276" t="s">
        <v>52</v>
      </c>
      <c r="E32" s="277">
        <v>1</v>
      </c>
      <c r="F32" s="278">
        <v>50</v>
      </c>
      <c r="G32" s="279">
        <f>CEILING(F32/E32,1)</f>
        <v>50</v>
      </c>
      <c r="H32" s="280">
        <v>0</v>
      </c>
      <c r="I32" s="281">
        <v>1</v>
      </c>
      <c r="J32" s="282">
        <f>(H32/E32)*100</f>
        <v>0</v>
      </c>
      <c r="K32" s="13"/>
      <c r="L32" s="15">
        <v>44849</v>
      </c>
      <c r="M32" s="15"/>
    </row>
    <row r="33" spans="1:13" ht="13.5" x14ac:dyDescent="0.25">
      <c r="A33" s="283">
        <v>32</v>
      </c>
      <c r="B33" s="37">
        <v>32</v>
      </c>
      <c r="C33" s="38">
        <f>B33-A33</f>
        <v>0</v>
      </c>
      <c r="D33" s="284" t="s">
        <v>34</v>
      </c>
      <c r="E33" s="285">
        <v>3</v>
      </c>
      <c r="F33" s="286">
        <v>85</v>
      </c>
      <c r="G33" s="287">
        <f>CEILING(F33/E33,1)</f>
        <v>29</v>
      </c>
      <c r="H33" s="288">
        <v>0</v>
      </c>
      <c r="I33" s="289">
        <v>3</v>
      </c>
      <c r="J33" s="290">
        <f>(H33/E33)*100</f>
        <v>0</v>
      </c>
      <c r="K33" s="16"/>
      <c r="L33" s="15">
        <v>44723</v>
      </c>
      <c r="M33" s="15"/>
    </row>
    <row r="34" spans="1:13" ht="13.5" x14ac:dyDescent="0.25">
      <c r="A34" s="283">
        <v>33</v>
      </c>
      <c r="B34" s="37">
        <v>33</v>
      </c>
      <c r="C34" s="38">
        <f t="shared" ref="C34:C35" si="0">B34-A34</f>
        <v>0</v>
      </c>
      <c r="D34" s="291"/>
      <c r="E34" s="292"/>
      <c r="F34" s="293"/>
      <c r="G34" s="294"/>
      <c r="H34" s="295"/>
      <c r="I34" s="296"/>
      <c r="J34" s="297"/>
      <c r="K34" s="16"/>
      <c r="L34" s="15"/>
      <c r="M34" s="15"/>
    </row>
    <row r="35" spans="1:13" ht="13.5" x14ac:dyDescent="0.25">
      <c r="A35" s="283">
        <v>34</v>
      </c>
      <c r="B35" s="37">
        <v>34</v>
      </c>
      <c r="C35" s="38">
        <f t="shared" si="0"/>
        <v>0</v>
      </c>
      <c r="D35" s="291"/>
      <c r="E35" s="298"/>
      <c r="F35" s="299"/>
      <c r="G35" s="300"/>
      <c r="H35" s="301"/>
      <c r="I35" s="302"/>
      <c r="J35" s="303"/>
      <c r="K35" s="16"/>
      <c r="L35" s="15"/>
      <c r="M35" s="15"/>
    </row>
    <row r="36" spans="1:13" ht="13.5" x14ac:dyDescent="0.25">
      <c r="A36" s="304"/>
      <c r="B36" s="305"/>
      <c r="C36" s="306"/>
      <c r="D36" s="291"/>
      <c r="E36" s="298"/>
      <c r="F36" s="299"/>
      <c r="G36" s="300"/>
      <c r="H36" s="307"/>
      <c r="I36" s="302"/>
      <c r="J36" s="308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2023-08-13T05:53:56Z</dcterms:modified>
</cp:coreProperties>
</file>