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715B8903-D906-4129-B9A7-C5FCCB502F42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0" l="1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P15" i="10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C2" i="10"/>
  <c r="G2" i="10"/>
  <c r="J2" i="10"/>
  <c r="G3" i="10"/>
  <c r="J3" i="10"/>
  <c r="G4" i="10"/>
  <c r="J4" i="10"/>
  <c r="G8" i="10"/>
  <c r="J8" i="10"/>
  <c r="G5" i="10"/>
  <c r="J5" i="10"/>
  <c r="G7" i="10"/>
  <c r="J7" i="10"/>
  <c r="G9" i="10"/>
  <c r="J9" i="10"/>
  <c r="G10" i="10"/>
  <c r="J10" i="10"/>
  <c r="G11" i="10"/>
  <c r="J11" i="10"/>
  <c r="G12" i="10"/>
  <c r="J12" i="10"/>
  <c r="G22" i="10"/>
  <c r="J22" i="10"/>
  <c r="G6" i="10"/>
  <c r="J6" i="10"/>
  <c r="G14" i="10"/>
  <c r="J14" i="10"/>
  <c r="G15" i="10"/>
  <c r="J15" i="10"/>
  <c r="G13" i="10"/>
  <c r="J13" i="10"/>
  <c r="G16" i="10"/>
  <c r="J16" i="10"/>
  <c r="G17" i="10"/>
  <c r="J17" i="10"/>
  <c r="G18" i="10"/>
  <c r="J18" i="10"/>
  <c r="G19" i="10"/>
  <c r="J19" i="10"/>
  <c r="G20" i="10"/>
  <c r="J20" i="10"/>
  <c r="G21" i="10"/>
  <c r="J21" i="10"/>
  <c r="G24" i="10"/>
  <c r="J24" i="10"/>
  <c r="G25" i="10"/>
  <c r="J25" i="10"/>
  <c r="G23" i="10"/>
  <c r="J23" i="10"/>
  <c r="G26" i="10"/>
  <c r="J26" i="10"/>
  <c r="G27" i="10"/>
  <c r="J27" i="10"/>
  <c r="G28" i="10"/>
  <c r="J28" i="10"/>
  <c r="G29" i="10"/>
  <c r="J29" i="10"/>
  <c r="G30" i="10"/>
  <c r="J30" i="10"/>
  <c r="G31" i="10"/>
  <c r="J31" i="10"/>
  <c r="G32" i="10"/>
  <c r="J32" i="10"/>
  <c r="G33" i="10"/>
  <c r="J33" i="10"/>
  <c r="O15" i="10"/>
  <c r="P21" i="10"/>
  <c r="R3" i="10" l="1"/>
  <c r="S3" i="10"/>
  <c r="T3" i="10" l="1"/>
  <c r="U3" i="10" l="1"/>
  <c r="W3" i="10" s="1"/>
  <c r="V3" i="10" l="1"/>
  <c r="O4" i="10" l="1"/>
  <c r="P4" i="10"/>
</calcChain>
</file>

<file path=xl/sharedStrings.xml><?xml version="1.0" encoding="utf-8"?>
<sst xmlns="http://schemas.openxmlformats.org/spreadsheetml/2006/main" count="111" uniqueCount="62">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</sst>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33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6BBA"/>
        <bgColor indexed="64"/>
      </patternFill>
    </fill>
    <fill>
      <patternFill patternType="solid">
        <fgColor rgb="FF0071AA"/>
        <bgColor indexed="64"/>
      </patternFill>
    </fill>
    <fill>
      <patternFill patternType="solid">
        <fgColor rgb="FF007799"/>
        <bgColor indexed="64"/>
      </patternFill>
    </fill>
    <fill>
      <patternFill patternType="solid">
        <fgColor rgb="FF007C88"/>
        <bgColor indexed="64"/>
      </patternFill>
    </fill>
    <fill>
      <patternFill patternType="solid">
        <fgColor rgb="FF008277"/>
        <bgColor indexed="64"/>
      </patternFill>
    </fill>
    <fill>
      <patternFill patternType="solid">
        <fgColor rgb="FF008866"/>
        <bgColor indexed="64"/>
      </patternFill>
    </fill>
    <fill>
      <patternFill patternType="solid">
        <fgColor rgb="FF008D55"/>
        <bgColor indexed="64"/>
      </patternFill>
    </fill>
    <fill>
      <patternFill patternType="solid">
        <fgColor rgb="FF009344"/>
        <bgColor indexed="64"/>
      </patternFill>
    </fill>
    <fill>
      <patternFill patternType="solid">
        <fgColor rgb="FF009933"/>
        <bgColor indexed="64"/>
      </patternFill>
    </fill>
    <fill>
      <patternFill patternType="solid">
        <fgColor rgb="FF0067CC"/>
        <bgColor indexed="64"/>
      </patternFill>
    </fill>
    <fill>
      <patternFill patternType="solid">
        <fgColor rgb="FF006CBA"/>
        <bgColor indexed="64"/>
      </patternFill>
    </fill>
    <fill>
      <patternFill patternType="solid">
        <fgColor rgb="FF027698"/>
        <bgColor indexed="64"/>
      </patternFill>
    </fill>
    <fill>
      <patternFill patternType="solid">
        <fgColor rgb="FF037B87"/>
        <bgColor indexed="64"/>
      </patternFill>
    </fill>
    <fill>
      <patternFill patternType="solid">
        <fgColor rgb="FF048076"/>
        <bgColor indexed="64"/>
      </patternFill>
    </fill>
    <fill>
      <patternFill patternType="solid">
        <fgColor rgb="FF058565"/>
        <bgColor indexed="64"/>
      </patternFill>
    </fill>
    <fill>
      <patternFill patternType="solid">
        <fgColor rgb="FF058A53"/>
        <bgColor indexed="64"/>
      </patternFill>
    </fill>
    <fill>
      <patternFill patternType="solid">
        <fgColor rgb="FF068F42"/>
        <bgColor indexed="64"/>
      </patternFill>
    </fill>
    <fill>
      <patternFill patternType="solid">
        <fgColor rgb="FF079431"/>
        <bgColor indexed="64"/>
      </patternFill>
    </fill>
    <fill>
      <patternFill patternType="solid">
        <fgColor rgb="FF0069CC"/>
        <bgColor indexed="64"/>
      </patternFill>
    </fill>
    <fill>
      <patternFill patternType="solid">
        <fgColor rgb="FF016DBA"/>
        <bgColor indexed="64"/>
      </patternFill>
    </fill>
    <fill>
      <patternFill patternType="solid">
        <fgColor rgb="FF057698"/>
        <bgColor indexed="64"/>
      </patternFill>
    </fill>
    <fill>
      <patternFill patternType="solid">
        <fgColor rgb="FF067A86"/>
        <bgColor indexed="64"/>
      </patternFill>
    </fill>
    <fill>
      <patternFill patternType="solid">
        <fgColor rgb="FF087E75"/>
        <bgColor indexed="64"/>
      </patternFill>
    </fill>
    <fill>
      <patternFill patternType="solid">
        <fgColor rgb="FF0A8364"/>
        <bgColor indexed="64"/>
      </patternFill>
    </fill>
    <fill>
      <patternFill patternType="solid">
        <fgColor rgb="FF0B8752"/>
        <bgColor indexed="64"/>
      </patternFill>
    </fill>
    <fill>
      <patternFill patternType="solid">
        <fgColor rgb="FF0D8B41"/>
        <bgColor indexed="64"/>
      </patternFill>
    </fill>
    <fill>
      <patternFill patternType="solid">
        <fgColor rgb="FF0F9030"/>
        <bgColor indexed="64"/>
      </patternFill>
    </fill>
    <fill>
      <patternFill patternType="solid">
        <fgColor rgb="FF006ACC"/>
        <bgColor indexed="64"/>
      </patternFill>
    </fill>
    <fill>
      <patternFill patternType="solid">
        <fgColor rgb="FF026EBA"/>
        <bgColor indexed="64"/>
      </patternFill>
    </fill>
    <fill>
      <patternFill patternType="solid">
        <fgColor rgb="FF077597"/>
        <bgColor indexed="64"/>
      </patternFill>
    </fill>
    <fill>
      <patternFill patternType="solid">
        <fgColor rgb="FF0A7986"/>
        <bgColor indexed="64"/>
      </patternFill>
    </fill>
    <fill>
      <patternFill patternType="solid">
        <fgColor rgb="FF0C7C74"/>
        <bgColor indexed="64"/>
      </patternFill>
    </fill>
    <fill>
      <patternFill patternType="solid">
        <fgColor rgb="FF0F8063"/>
        <bgColor indexed="64"/>
      </patternFill>
    </fill>
    <fill>
      <patternFill patternType="solid">
        <fgColor rgb="FF118451"/>
        <bgColor indexed="64"/>
      </patternFill>
    </fill>
    <fill>
      <patternFill patternType="solid">
        <fgColor rgb="FF148740"/>
        <bgColor indexed="64"/>
      </patternFill>
    </fill>
    <fill>
      <patternFill patternType="solid">
        <fgColor rgb="FF168B2E"/>
        <bgColor indexed="64"/>
      </patternFill>
    </fill>
    <fill>
      <patternFill patternType="solid">
        <fgColor rgb="FF006CCC"/>
        <bgColor indexed="64"/>
      </patternFill>
    </fill>
    <fill>
      <patternFill patternType="solid">
        <fgColor rgb="FF036FBA"/>
        <bgColor indexed="64"/>
      </patternFill>
    </fill>
    <fill>
      <patternFill patternType="solid">
        <fgColor rgb="FF0A7597"/>
        <bgColor indexed="64"/>
      </patternFill>
    </fill>
    <fill>
      <patternFill patternType="solid">
        <fgColor rgb="FF0D7885"/>
        <bgColor indexed="64"/>
      </patternFill>
    </fill>
    <fill>
      <patternFill patternType="solid">
        <fgColor rgb="FF107B73"/>
        <bgColor indexed="64"/>
      </patternFill>
    </fill>
    <fill>
      <patternFill patternType="solid">
        <fgColor rgb="FF147E62"/>
        <bgColor indexed="64"/>
      </patternFill>
    </fill>
    <fill>
      <patternFill patternType="solid">
        <fgColor rgb="FF178150"/>
        <bgColor indexed="64"/>
      </patternFill>
    </fill>
    <fill>
      <patternFill patternType="solid">
        <fgColor rgb="FF1A843E"/>
        <bgColor indexed="64"/>
      </patternFill>
    </fill>
    <fill>
      <patternFill patternType="solid">
        <fgColor rgb="FF1E872D"/>
        <bgColor indexed="64"/>
      </patternFill>
    </fill>
    <fill>
      <patternFill patternType="solid">
        <fgColor rgb="FF006DCC"/>
        <bgColor indexed="64"/>
      </patternFill>
    </fill>
    <fill>
      <patternFill patternType="solid">
        <fgColor rgb="FF046FBA"/>
        <bgColor indexed="64"/>
      </patternFill>
    </fill>
    <fill>
      <patternFill patternType="solid">
        <fgColor rgb="FF0C7496"/>
        <bgColor indexed="64"/>
      </patternFill>
    </fill>
    <fill>
      <patternFill patternType="solid">
        <fgColor rgb="FF107684"/>
        <bgColor indexed="64"/>
      </patternFill>
    </fill>
    <fill>
      <patternFill patternType="solid">
        <fgColor rgb="FF147972"/>
        <bgColor indexed="64"/>
      </patternFill>
    </fill>
    <fill>
      <patternFill patternType="solid">
        <fgColor rgb="FF197B61"/>
        <bgColor indexed="64"/>
      </patternFill>
    </fill>
    <fill>
      <patternFill patternType="solid">
        <fgColor rgb="FF1D7D4F"/>
        <bgColor indexed="64"/>
      </patternFill>
    </fill>
    <fill>
      <patternFill patternType="solid">
        <fgColor rgb="FF21803D"/>
        <bgColor indexed="64"/>
      </patternFill>
    </fill>
    <fill>
      <patternFill patternType="solid">
        <fgColor rgb="FF25822B"/>
        <bgColor indexed="64"/>
      </patternFill>
    </fill>
    <fill>
      <patternFill patternType="solid">
        <fgColor rgb="FF006FCC"/>
        <bgColor indexed="64"/>
      </patternFill>
    </fill>
    <fill>
      <patternFill patternType="solid">
        <fgColor rgb="FF0570B9"/>
        <bgColor indexed="64"/>
      </patternFill>
    </fill>
    <fill>
      <patternFill patternType="solid">
        <fgColor rgb="FF0F7496"/>
        <bgColor indexed="64"/>
      </patternFill>
    </fill>
    <fill>
      <patternFill patternType="solid">
        <fgColor rgb="FF147584"/>
        <bgColor indexed="64"/>
      </patternFill>
    </fill>
    <fill>
      <patternFill patternType="solid">
        <fgColor rgb="FF197772"/>
        <bgColor indexed="64"/>
      </patternFill>
    </fill>
    <fill>
      <patternFill patternType="solid">
        <fgColor rgb="FF1E7960"/>
        <bgColor indexed="64"/>
      </patternFill>
    </fill>
    <fill>
      <patternFill patternType="solid">
        <fgColor rgb="FF237A4E"/>
        <bgColor indexed="64"/>
      </patternFill>
    </fill>
    <fill>
      <patternFill patternType="solid">
        <fgColor rgb="FF287C3C"/>
        <bgColor indexed="64"/>
      </patternFill>
    </fill>
    <fill>
      <patternFill patternType="solid">
        <fgColor rgb="FF2D7E2A"/>
        <bgColor indexed="64"/>
      </patternFill>
    </fill>
    <fill>
      <patternFill patternType="solid">
        <fgColor rgb="FF0070CC"/>
        <bgColor indexed="64"/>
      </patternFill>
    </fill>
    <fill>
      <patternFill patternType="solid">
        <fgColor rgb="FF0571B9"/>
        <bgColor indexed="64"/>
      </patternFill>
    </fill>
    <fill>
      <patternFill patternType="solid">
        <fgColor rgb="FF117395"/>
        <bgColor indexed="64"/>
      </patternFill>
    </fill>
    <fill>
      <patternFill patternType="solid">
        <fgColor rgb="FF177483"/>
        <bgColor indexed="64"/>
      </patternFill>
    </fill>
    <fill>
      <patternFill patternType="solid">
        <fgColor rgb="FF1D7571"/>
        <bgColor indexed="64"/>
      </patternFill>
    </fill>
    <fill>
      <patternFill patternType="solid">
        <fgColor rgb="FF23765F"/>
        <bgColor indexed="64"/>
      </patternFill>
    </fill>
    <fill>
      <patternFill patternType="solid">
        <fgColor rgb="FF28774C"/>
        <bgColor indexed="64"/>
      </patternFill>
    </fill>
    <fill>
      <patternFill patternType="solid">
        <fgColor rgb="FF2E783A"/>
        <bgColor indexed="64"/>
      </patternFill>
    </fill>
    <fill>
      <patternFill patternType="solid">
        <fgColor rgb="FF347928"/>
        <bgColor indexed="64"/>
      </patternFill>
    </fill>
    <fill>
      <patternFill patternType="solid">
        <fgColor rgb="FF0072CC"/>
        <bgColor indexed="64"/>
      </patternFill>
    </fill>
    <fill>
      <patternFill patternType="solid">
        <fgColor rgb="FF0672B9"/>
        <bgColor indexed="64"/>
      </patternFill>
    </fill>
    <fill>
      <patternFill patternType="solid">
        <fgColor rgb="FF147395"/>
        <bgColor indexed="64"/>
      </patternFill>
    </fill>
    <fill>
      <patternFill patternType="solid">
        <fgColor rgb="FF1A7382"/>
        <bgColor indexed="64"/>
      </patternFill>
    </fill>
    <fill>
      <patternFill patternType="solid">
        <fgColor rgb="FF217370"/>
        <bgColor indexed="64"/>
      </patternFill>
    </fill>
    <fill>
      <patternFill patternType="solid">
        <fgColor rgb="FF28745E"/>
        <bgColor indexed="64"/>
      </patternFill>
    </fill>
    <fill>
      <patternFill patternType="solid">
        <fgColor rgb="FF2E744B"/>
        <bgColor indexed="64"/>
      </patternFill>
    </fill>
    <fill>
      <patternFill patternType="solid">
        <fgColor rgb="FF357439"/>
        <bgColor indexed="64"/>
      </patternFill>
    </fill>
    <fill>
      <patternFill patternType="solid">
        <fgColor rgb="FF3C7427"/>
        <bgColor indexed="64"/>
      </patternFill>
    </fill>
    <fill>
      <patternFill patternType="solid">
        <fgColor rgb="FF0073CC"/>
        <bgColor indexed="64"/>
      </patternFill>
    </fill>
    <fill>
      <patternFill patternType="solid">
        <fgColor rgb="FF0773B9"/>
        <bgColor indexed="64"/>
      </patternFill>
    </fill>
    <fill>
      <patternFill patternType="solid">
        <fgColor rgb="FF167294"/>
        <bgColor indexed="64"/>
      </patternFill>
    </fill>
    <fill>
      <patternFill patternType="solid">
        <fgColor rgb="FF1E7282"/>
        <bgColor indexed="64"/>
      </patternFill>
    </fill>
    <fill>
      <patternFill patternType="solid">
        <fgColor rgb="FF25716F"/>
        <bgColor indexed="64"/>
      </patternFill>
    </fill>
    <fill>
      <patternFill patternType="solid">
        <fgColor rgb="FF2D715D"/>
        <bgColor indexed="64"/>
      </patternFill>
    </fill>
    <fill>
      <patternFill patternType="solid">
        <fgColor rgb="FF34714A"/>
        <bgColor indexed="64"/>
      </patternFill>
    </fill>
    <fill>
      <patternFill patternType="solid">
        <fgColor rgb="FF3C7038"/>
        <bgColor indexed="64"/>
      </patternFill>
    </fill>
    <fill>
      <patternFill patternType="solid">
        <fgColor rgb="FF437025"/>
        <bgColor indexed="64"/>
      </patternFill>
    </fill>
    <fill>
      <patternFill patternType="solid">
        <fgColor rgb="FF0075CC"/>
        <bgColor indexed="64"/>
      </patternFill>
    </fill>
    <fill>
      <patternFill patternType="solid">
        <fgColor rgb="FF0874B9"/>
        <bgColor indexed="64"/>
      </patternFill>
    </fill>
    <fill>
      <patternFill patternType="solid">
        <fgColor rgb="FF197294"/>
        <bgColor indexed="64"/>
      </patternFill>
    </fill>
    <fill>
      <patternFill patternType="solid">
        <fgColor rgb="FF217181"/>
        <bgColor indexed="64"/>
      </patternFill>
    </fill>
    <fill>
      <patternFill patternType="solid">
        <fgColor rgb="FF29706E"/>
        <bgColor indexed="64"/>
      </patternFill>
    </fill>
    <fill>
      <patternFill patternType="solid">
        <fgColor rgb="FF326F5C"/>
        <bgColor indexed="64"/>
      </patternFill>
    </fill>
    <fill>
      <patternFill patternType="solid">
        <fgColor rgb="FF3A6D49"/>
        <bgColor indexed="64"/>
      </patternFill>
    </fill>
    <fill>
      <patternFill patternType="solid">
        <fgColor rgb="FF426C36"/>
        <bgColor indexed="64"/>
      </patternFill>
    </fill>
    <fill>
      <patternFill patternType="solid">
        <fgColor rgb="FF4B6B24"/>
        <bgColor indexed="64"/>
      </patternFill>
    </fill>
    <fill>
      <patternFill patternType="solid">
        <fgColor rgb="FF0076CC"/>
        <bgColor indexed="64"/>
      </patternFill>
    </fill>
    <fill>
      <patternFill patternType="solid">
        <fgColor rgb="FF0974B9"/>
        <bgColor indexed="64"/>
      </patternFill>
    </fill>
    <fill>
      <patternFill patternType="solid">
        <fgColor rgb="FF1B7193"/>
        <bgColor indexed="64"/>
      </patternFill>
    </fill>
    <fill>
      <patternFill patternType="solid">
        <fgColor rgb="FF246F80"/>
        <bgColor indexed="64"/>
      </patternFill>
    </fill>
    <fill>
      <patternFill patternType="solid">
        <fgColor rgb="FF2D6E6D"/>
        <bgColor indexed="64"/>
      </patternFill>
    </fill>
    <fill>
      <patternFill patternType="solid">
        <fgColor rgb="FF376C5B"/>
        <bgColor indexed="64"/>
      </patternFill>
    </fill>
    <fill>
      <patternFill patternType="solid">
        <fgColor rgb="FF406A48"/>
        <bgColor indexed="64"/>
      </patternFill>
    </fill>
    <fill>
      <patternFill patternType="solid">
        <fgColor rgb="FF496935"/>
        <bgColor indexed="64"/>
      </patternFill>
    </fill>
    <fill>
      <patternFill patternType="solid">
        <fgColor rgb="FF526722"/>
        <bgColor indexed="64"/>
      </patternFill>
    </fill>
    <fill>
      <patternFill patternType="solid">
        <fgColor rgb="FF0077CB"/>
        <bgColor indexed="64"/>
      </patternFill>
    </fill>
    <fill>
      <patternFill patternType="solid">
        <fgColor rgb="FF0A75B8"/>
        <bgColor indexed="64"/>
      </patternFill>
    </fill>
    <fill>
      <patternFill patternType="solid">
        <fgColor rgb="FF1E7193"/>
        <bgColor indexed="64"/>
      </patternFill>
    </fill>
    <fill>
      <patternFill patternType="solid">
        <fgColor rgb="FF286E7F"/>
        <bgColor indexed="64"/>
      </patternFill>
    </fill>
    <fill>
      <patternFill patternType="solid">
        <fgColor rgb="FF326C6C"/>
        <bgColor indexed="64"/>
      </patternFill>
    </fill>
    <fill>
      <patternFill patternType="solid">
        <fgColor rgb="FF3C695A"/>
        <bgColor indexed="64"/>
      </patternFill>
    </fill>
    <fill>
      <patternFill patternType="solid">
        <fgColor rgb="FF466746"/>
        <bgColor indexed="64"/>
      </patternFill>
    </fill>
    <fill>
      <patternFill patternType="solid">
        <fgColor rgb="FF506534"/>
        <bgColor indexed="64"/>
      </patternFill>
    </fill>
    <fill>
      <patternFill patternType="solid">
        <fgColor rgb="FF5A6220"/>
        <bgColor indexed="64"/>
      </patternFill>
    </fill>
    <fill>
      <patternFill patternType="solid">
        <fgColor rgb="FF0079CC"/>
        <bgColor indexed="64"/>
      </patternFill>
    </fill>
    <fill>
      <patternFill patternType="solid">
        <fgColor rgb="FF0A76B8"/>
        <bgColor indexed="64"/>
      </patternFill>
    </fill>
    <fill>
      <patternFill patternType="solid">
        <fgColor rgb="FF207092"/>
        <bgColor indexed="64"/>
      </patternFill>
    </fill>
    <fill>
      <patternFill patternType="solid">
        <fgColor rgb="FF2B6D7F"/>
        <bgColor indexed="64"/>
      </patternFill>
    </fill>
    <fill>
      <patternFill patternType="solid">
        <fgColor rgb="FF366A6C"/>
        <bgColor indexed="64"/>
      </patternFill>
    </fill>
    <fill>
      <patternFill patternType="solid">
        <fgColor rgb="FF416759"/>
        <bgColor indexed="64"/>
      </patternFill>
    </fill>
    <fill>
      <patternFill patternType="solid">
        <fgColor rgb="FF4B6445"/>
        <bgColor indexed="64"/>
      </patternFill>
    </fill>
    <fill>
      <patternFill patternType="solid">
        <fgColor rgb="FF566132"/>
        <bgColor indexed="64"/>
      </patternFill>
    </fill>
    <fill>
      <patternFill patternType="solid">
        <fgColor rgb="FF615E1F"/>
        <bgColor indexed="64"/>
      </patternFill>
    </fill>
    <fill>
      <patternFill patternType="solid">
        <fgColor rgb="FF007BCC"/>
        <bgColor indexed="64"/>
      </patternFill>
    </fill>
    <fill>
      <patternFill patternType="solid">
        <fgColor rgb="FF0B77B8"/>
        <bgColor indexed="64"/>
      </patternFill>
    </fill>
    <fill>
      <patternFill patternType="solid">
        <fgColor rgb="FF237092"/>
        <bgColor indexed="64"/>
      </patternFill>
    </fill>
    <fill>
      <patternFill patternType="solid">
        <fgColor rgb="FF2E6C7E"/>
        <bgColor indexed="64"/>
      </patternFill>
    </fill>
    <fill>
      <patternFill patternType="solid">
        <fgColor rgb="FF3A686B"/>
        <bgColor indexed="64"/>
      </patternFill>
    </fill>
    <fill>
      <patternFill patternType="solid">
        <fgColor rgb="FF466558"/>
        <bgColor indexed="64"/>
      </patternFill>
    </fill>
    <fill>
      <patternFill patternType="solid">
        <fgColor rgb="FF516144"/>
        <bgColor indexed="64"/>
      </patternFill>
    </fill>
    <fill>
      <patternFill patternType="solid">
        <fgColor rgb="FF5D5D31"/>
        <bgColor indexed="64"/>
      </patternFill>
    </fill>
    <fill>
      <patternFill patternType="solid">
        <fgColor rgb="FF695A1E"/>
        <bgColor indexed="64"/>
      </patternFill>
    </fill>
    <fill>
      <patternFill patternType="solid">
        <fgColor rgb="FF007CCC"/>
        <bgColor indexed="64"/>
      </patternFill>
    </fill>
    <fill>
      <patternFill patternType="solid">
        <fgColor rgb="FF0C78B8"/>
        <bgColor indexed="64"/>
      </patternFill>
    </fill>
    <fill>
      <patternFill patternType="solid">
        <fgColor rgb="FF256F91"/>
        <bgColor indexed="64"/>
      </patternFill>
    </fill>
    <fill>
      <patternFill patternType="solid">
        <fgColor rgb="FF326B7E"/>
        <bgColor indexed="64"/>
      </patternFill>
    </fill>
    <fill>
      <patternFill patternType="solid">
        <fgColor rgb="FF3E666A"/>
        <bgColor indexed="64"/>
      </patternFill>
    </fill>
    <fill>
      <patternFill patternType="solid">
        <fgColor rgb="FF4B6257"/>
        <bgColor indexed="64"/>
      </patternFill>
    </fill>
    <fill>
      <patternFill patternType="solid">
        <fgColor rgb="FF575E43"/>
        <bgColor indexed="64"/>
      </patternFill>
    </fill>
    <fill>
      <patternFill patternType="solid">
        <fgColor rgb="FF645930"/>
        <bgColor indexed="64"/>
      </patternFill>
    </fill>
    <fill>
      <patternFill patternType="solid">
        <fgColor rgb="FF70551C"/>
        <bgColor indexed="64"/>
      </patternFill>
    </fill>
    <fill>
      <patternFill patternType="solid">
        <fgColor rgb="FF007ECC"/>
        <bgColor indexed="64"/>
      </patternFill>
    </fill>
    <fill>
      <patternFill patternType="solid">
        <fgColor rgb="FF0D79B8"/>
        <bgColor indexed="64"/>
      </patternFill>
    </fill>
    <fill>
      <patternFill patternType="solid">
        <fgColor rgb="FF286F91"/>
        <bgColor indexed="64"/>
      </patternFill>
    </fill>
    <fill>
      <patternFill patternType="solid">
        <fgColor rgb="FF356A7D"/>
        <bgColor indexed="64"/>
      </patternFill>
    </fill>
    <fill>
      <patternFill patternType="solid">
        <fgColor rgb="FF426569"/>
        <bgColor indexed="64"/>
      </patternFill>
    </fill>
    <fill>
      <patternFill patternType="solid">
        <fgColor rgb="FF506056"/>
        <bgColor indexed="64"/>
      </patternFill>
    </fill>
    <fill>
      <patternFill patternType="solid">
        <fgColor rgb="FF5D5B42"/>
        <bgColor indexed="64"/>
      </patternFill>
    </fill>
    <fill>
      <patternFill patternType="solid">
        <fgColor rgb="FF6A562E"/>
        <bgColor indexed="64"/>
      </patternFill>
    </fill>
    <fill>
      <patternFill patternType="solid">
        <fgColor rgb="FF78511B"/>
        <bgColor indexed="64"/>
      </patternFill>
    </fill>
    <fill>
      <patternFill patternType="solid">
        <fgColor rgb="FF007FCC"/>
        <bgColor indexed="64"/>
      </patternFill>
    </fill>
    <fill>
      <patternFill patternType="solid">
        <fgColor rgb="FF0E79B8"/>
        <bgColor indexed="64"/>
      </patternFill>
    </fill>
    <fill>
      <patternFill patternType="solid">
        <fgColor rgb="FF2A6E90"/>
        <bgColor indexed="64"/>
      </patternFill>
    </fill>
    <fill>
      <patternFill patternType="solid">
        <fgColor rgb="FF38687C"/>
        <bgColor indexed="64"/>
      </patternFill>
    </fill>
    <fill>
      <patternFill patternType="solid">
        <fgColor rgb="FF466368"/>
        <bgColor indexed="64"/>
      </patternFill>
    </fill>
    <fill>
      <patternFill patternType="solid">
        <fgColor rgb="FF555D55"/>
        <bgColor indexed="64"/>
      </patternFill>
    </fill>
    <fill>
      <patternFill patternType="solid">
        <fgColor rgb="FF635741"/>
        <bgColor indexed="64"/>
      </patternFill>
    </fill>
    <fill>
      <patternFill patternType="solid">
        <fgColor rgb="FF71522D"/>
        <bgColor indexed="64"/>
      </patternFill>
    </fill>
    <fill>
      <patternFill patternType="solid">
        <fgColor rgb="FF7F4C19"/>
        <bgColor indexed="64"/>
      </patternFill>
    </fill>
    <fill>
      <patternFill patternType="solid">
        <fgColor rgb="FF0081CC"/>
        <bgColor indexed="64"/>
      </patternFill>
    </fill>
    <fill>
      <patternFill patternType="solid">
        <fgColor rgb="FF0F7AB7"/>
        <bgColor indexed="64"/>
      </patternFill>
    </fill>
    <fill>
      <patternFill patternType="solid">
        <fgColor rgb="FF2D6E90"/>
        <bgColor indexed="64"/>
      </patternFill>
    </fill>
    <fill>
      <patternFill patternType="solid">
        <fgColor rgb="FF3C677C"/>
        <bgColor indexed="64"/>
      </patternFill>
    </fill>
    <fill>
      <patternFill patternType="solid">
        <fgColor rgb="FF4B6167"/>
        <bgColor indexed="64"/>
      </patternFill>
    </fill>
    <fill>
      <patternFill patternType="solid">
        <fgColor rgb="FF5A5B54"/>
        <bgColor indexed="64"/>
      </patternFill>
    </fill>
    <fill>
      <patternFill patternType="solid">
        <fgColor rgb="FF695440"/>
        <bgColor indexed="64"/>
      </patternFill>
    </fill>
    <fill>
      <patternFill patternType="solid">
        <fgColor rgb="FF784E2C"/>
        <bgColor indexed="64"/>
      </patternFill>
    </fill>
    <fill>
      <patternFill patternType="solid">
        <fgColor rgb="FF874818"/>
        <bgColor indexed="64"/>
      </patternFill>
    </fill>
    <fill>
      <patternFill patternType="solid">
        <fgColor rgb="FF0082CC"/>
        <bgColor indexed="64"/>
      </patternFill>
    </fill>
    <fill>
      <patternFill patternType="solid">
        <fgColor rgb="FF0F7BB7"/>
        <bgColor indexed="64"/>
      </patternFill>
    </fill>
    <fill>
      <patternFill patternType="solid">
        <fgColor rgb="FF2F6D8F"/>
        <bgColor indexed="64"/>
      </patternFill>
    </fill>
    <fill>
      <patternFill patternType="solid">
        <fgColor rgb="FF3F667B"/>
        <bgColor indexed="64"/>
      </patternFill>
    </fill>
    <fill>
      <patternFill patternType="solid">
        <fgColor rgb="FF4F5F67"/>
        <bgColor indexed="64"/>
      </patternFill>
    </fill>
    <fill>
      <patternFill patternType="solid">
        <fgColor rgb="FF5F5853"/>
        <bgColor indexed="64"/>
      </patternFill>
    </fill>
    <fill>
      <patternFill patternType="solid">
        <fgColor rgb="FF6E513E"/>
        <bgColor indexed="64"/>
      </patternFill>
    </fill>
    <fill>
      <patternFill patternType="solid">
        <fgColor rgb="FF7E4A2A"/>
        <bgColor indexed="64"/>
      </patternFill>
    </fill>
    <fill>
      <patternFill patternType="solid">
        <fgColor rgb="FF8E4316"/>
        <bgColor indexed="64"/>
      </patternFill>
    </fill>
    <fill>
      <patternFill patternType="solid">
        <fgColor rgb="FF0084CC"/>
        <bgColor indexed="64"/>
      </patternFill>
    </fill>
    <fill>
      <patternFill patternType="solid">
        <fgColor rgb="FF107CB7"/>
        <bgColor indexed="64"/>
      </patternFill>
    </fill>
    <fill>
      <patternFill patternType="solid">
        <fgColor rgb="FF326D8F"/>
        <bgColor indexed="64"/>
      </patternFill>
    </fill>
    <fill>
      <patternFill patternType="solid">
        <fgColor rgb="FF42657A"/>
        <bgColor indexed="64"/>
      </patternFill>
    </fill>
    <fill>
      <patternFill patternType="solid">
        <fgColor rgb="FF535D66"/>
        <bgColor indexed="64"/>
      </patternFill>
    </fill>
    <fill>
      <patternFill patternType="solid">
        <fgColor rgb="FF645652"/>
        <bgColor indexed="64"/>
      </patternFill>
    </fill>
    <fill>
      <patternFill patternType="solid">
        <fgColor rgb="FF744E3D"/>
        <bgColor indexed="64"/>
      </patternFill>
    </fill>
    <fill>
      <patternFill patternType="solid">
        <fgColor rgb="FF854629"/>
        <bgColor indexed="64"/>
      </patternFill>
    </fill>
    <fill>
      <patternFill patternType="solid">
        <fgColor rgb="FF963F15"/>
        <bgColor indexed="64"/>
      </patternFill>
    </fill>
    <fill>
      <patternFill patternType="solid">
        <fgColor rgb="FF0085CC"/>
        <bgColor indexed="64"/>
      </patternFill>
    </fill>
    <fill>
      <patternFill patternType="solid">
        <fgColor rgb="FF117DB7"/>
        <bgColor indexed="64"/>
      </patternFill>
    </fill>
    <fill>
      <patternFill patternType="solid">
        <fgColor rgb="FF346C8E"/>
        <bgColor indexed="64"/>
      </patternFill>
    </fill>
    <fill>
      <patternFill patternType="solid">
        <fgColor rgb="FF46647A"/>
        <bgColor indexed="64"/>
      </patternFill>
    </fill>
    <fill>
      <patternFill patternType="solid">
        <fgColor rgb="FF575B65"/>
        <bgColor indexed="64"/>
      </patternFill>
    </fill>
    <fill>
      <patternFill patternType="solid">
        <fgColor rgb="FF695351"/>
        <bgColor indexed="64"/>
      </patternFill>
    </fill>
    <fill>
      <patternFill patternType="solid">
        <fgColor rgb="FF7A4B3C"/>
        <bgColor indexed="64"/>
      </patternFill>
    </fill>
    <fill>
      <patternFill patternType="solid">
        <fgColor rgb="FF8C4228"/>
        <bgColor indexed="64"/>
      </patternFill>
    </fill>
    <fill>
      <patternFill patternType="solid">
        <fgColor rgb="FF9D3A13"/>
        <bgColor indexed="64"/>
      </patternFill>
    </fill>
    <fill>
      <patternFill patternType="solid">
        <fgColor rgb="FF0087CC"/>
        <bgColor indexed="64"/>
      </patternFill>
    </fill>
    <fill>
      <patternFill patternType="solid">
        <fgColor rgb="FF127EB7"/>
        <bgColor indexed="64"/>
      </patternFill>
    </fill>
    <fill>
      <patternFill patternType="solid">
        <fgColor rgb="FF376C8E"/>
        <bgColor indexed="64"/>
      </patternFill>
    </fill>
    <fill>
      <patternFill patternType="solid">
        <fgColor rgb="FF496379"/>
        <bgColor indexed="64"/>
      </patternFill>
    </fill>
    <fill>
      <patternFill patternType="solid">
        <fgColor rgb="FF5B5A64"/>
        <bgColor indexed="64"/>
      </patternFill>
    </fill>
    <fill>
      <patternFill patternType="solid">
        <fgColor rgb="FF6E5150"/>
        <bgColor indexed="64"/>
      </patternFill>
    </fill>
    <fill>
      <patternFill patternType="solid">
        <fgColor rgb="FF80483B"/>
        <bgColor indexed="64"/>
      </patternFill>
    </fill>
    <fill>
      <patternFill patternType="solid">
        <fgColor rgb="FF923F26"/>
        <bgColor indexed="64"/>
      </patternFill>
    </fill>
    <fill>
      <patternFill patternType="solid">
        <fgColor rgb="FFA53512"/>
        <bgColor indexed="64"/>
      </patternFill>
    </fill>
    <fill>
      <patternFill patternType="solid">
        <fgColor rgb="FF0088CC"/>
        <bgColor indexed="64"/>
      </patternFill>
    </fill>
    <fill>
      <patternFill patternType="solid">
        <fgColor rgb="FF137EB7"/>
        <bgColor indexed="64"/>
      </patternFill>
    </fill>
    <fill>
      <patternFill patternType="solid">
        <fgColor rgb="FF396B8D"/>
        <bgColor indexed="64"/>
      </patternFill>
    </fill>
    <fill>
      <patternFill patternType="solid">
        <fgColor rgb="FF4C6178"/>
        <bgColor indexed="64"/>
      </patternFill>
    </fill>
    <fill>
      <patternFill patternType="solid">
        <fgColor rgb="FF5F5863"/>
        <bgColor indexed="64"/>
      </patternFill>
    </fill>
    <fill>
      <patternFill patternType="solid">
        <fgColor rgb="FF734E4F"/>
        <bgColor indexed="64"/>
      </patternFill>
    </fill>
    <fill>
      <patternFill patternType="solid">
        <fgColor rgb="FF86443A"/>
        <bgColor indexed="64"/>
      </patternFill>
    </fill>
    <fill>
      <patternFill patternType="solid">
        <fgColor rgb="FF993B25"/>
        <bgColor indexed="64"/>
      </patternFill>
    </fill>
    <fill>
      <patternFill patternType="solid">
        <fgColor rgb="FFAC3110"/>
        <bgColor indexed="64"/>
      </patternFill>
    </fill>
    <fill>
      <patternFill patternType="solid">
        <fgColor rgb="FF008ACC"/>
        <bgColor indexed="64"/>
      </patternFill>
    </fill>
    <fill>
      <patternFill patternType="solid">
        <fgColor rgb="FF147FB6"/>
        <bgColor indexed="64"/>
      </patternFill>
    </fill>
    <fill>
      <patternFill patternType="solid">
        <fgColor rgb="FF3C6B8D"/>
        <bgColor indexed="64"/>
      </patternFill>
    </fill>
    <fill>
      <patternFill patternType="solid">
        <fgColor rgb="FF506078"/>
        <bgColor indexed="64"/>
      </patternFill>
    </fill>
    <fill>
      <patternFill patternType="solid">
        <fgColor rgb="FF645662"/>
        <bgColor indexed="64"/>
      </patternFill>
    </fill>
    <fill>
      <patternFill patternType="solid">
        <fgColor rgb="FF784C4E"/>
        <bgColor indexed="64"/>
      </patternFill>
    </fill>
    <fill>
      <patternFill patternType="solid">
        <fgColor rgb="FF8C4138"/>
        <bgColor indexed="64"/>
      </patternFill>
    </fill>
    <fill>
      <patternFill patternType="solid">
        <fgColor rgb="FFA03724"/>
        <bgColor indexed="64"/>
      </patternFill>
    </fill>
    <fill>
      <patternFill patternType="solid">
        <fgColor rgb="FFB42C0E"/>
        <bgColor indexed="64"/>
      </patternFill>
    </fill>
    <fill>
      <patternFill patternType="solid">
        <fgColor rgb="FF008BCC"/>
        <bgColor indexed="64"/>
      </patternFill>
    </fill>
    <fill>
      <patternFill patternType="solid">
        <fgColor rgb="FF1480B6"/>
        <bgColor indexed="64"/>
      </patternFill>
    </fill>
    <fill>
      <patternFill patternType="solid">
        <fgColor rgb="FF3E6A8C"/>
        <bgColor indexed="64"/>
      </patternFill>
    </fill>
    <fill>
      <patternFill patternType="solid">
        <fgColor rgb="FF535F77"/>
        <bgColor indexed="64"/>
      </patternFill>
    </fill>
    <fill>
      <patternFill patternType="solid">
        <fgColor rgb="FF685462"/>
        <bgColor indexed="64"/>
      </patternFill>
    </fill>
    <fill>
      <patternFill patternType="solid">
        <fgColor rgb="FF7D494D"/>
        <bgColor indexed="64"/>
      </patternFill>
    </fill>
    <fill>
      <patternFill patternType="solid">
        <fgColor rgb="FF913E37"/>
        <bgColor indexed="64"/>
      </patternFill>
    </fill>
    <fill>
      <patternFill patternType="solid">
        <fgColor rgb="FFA63322"/>
        <bgColor indexed="64"/>
      </patternFill>
    </fill>
    <fill>
      <patternFill patternType="solid">
        <fgColor rgb="FFBB280D"/>
        <bgColor indexed="64"/>
      </patternFill>
    </fill>
    <fill>
      <patternFill patternType="solid">
        <fgColor rgb="FF008DCC"/>
        <bgColor indexed="64"/>
      </patternFill>
    </fill>
    <fill>
      <patternFill patternType="solid">
        <fgColor rgb="FF1581B6"/>
        <bgColor indexed="64"/>
      </patternFill>
    </fill>
    <fill>
      <patternFill patternType="solid">
        <fgColor rgb="FF416A8C"/>
        <bgColor indexed="64"/>
      </patternFill>
    </fill>
    <fill>
      <patternFill patternType="solid">
        <fgColor rgb="FF565E76"/>
        <bgColor indexed="64"/>
      </patternFill>
    </fill>
    <fill>
      <patternFill patternType="solid">
        <fgColor rgb="FF6C5261"/>
        <bgColor indexed="64"/>
      </patternFill>
    </fill>
    <fill>
      <patternFill patternType="solid">
        <fgColor rgb="FF82474C"/>
        <bgColor indexed="64"/>
      </patternFill>
    </fill>
    <fill>
      <patternFill patternType="solid">
        <fgColor rgb="FF973B36"/>
        <bgColor indexed="64"/>
      </patternFill>
    </fill>
    <fill>
      <patternFill patternType="solid">
        <fgColor rgb="FFAD2F21"/>
        <bgColor indexed="64"/>
      </patternFill>
    </fill>
    <fill>
      <patternFill patternType="solid">
        <fgColor rgb="FFC3240C"/>
        <bgColor indexed="64"/>
      </patternFill>
    </fill>
    <fill>
      <patternFill patternType="solid">
        <fgColor rgb="FF008ECC"/>
        <bgColor indexed="64"/>
      </patternFill>
    </fill>
    <fill>
      <patternFill patternType="solid">
        <fgColor rgb="FF1682B6"/>
        <bgColor indexed="64"/>
      </patternFill>
    </fill>
    <fill>
      <patternFill patternType="solid">
        <fgColor rgb="FF43698B"/>
        <bgColor indexed="64"/>
      </patternFill>
    </fill>
    <fill>
      <patternFill patternType="solid">
        <fgColor rgb="FF5A5D76"/>
        <bgColor indexed="64"/>
      </patternFill>
    </fill>
    <fill>
      <patternFill patternType="solid">
        <fgColor rgb="FF705060"/>
        <bgColor indexed="64"/>
      </patternFill>
    </fill>
    <fill>
      <patternFill patternType="solid">
        <fgColor rgb="FF87444B"/>
        <bgColor indexed="64"/>
      </patternFill>
    </fill>
    <fill>
      <patternFill patternType="solid">
        <fgColor rgb="FF9D3835"/>
        <bgColor indexed="64"/>
      </patternFill>
    </fill>
    <fill>
      <patternFill patternType="solid">
        <fgColor rgb="FFB42B20"/>
        <bgColor indexed="64"/>
      </patternFill>
    </fill>
    <fill>
      <patternFill patternType="solid">
        <fgColor rgb="FFCA1F0A"/>
        <bgColor indexed="64"/>
      </patternFill>
    </fill>
    <fill>
      <patternFill patternType="solid">
        <fgColor rgb="FF0090CC"/>
        <bgColor indexed="64"/>
      </patternFill>
    </fill>
    <fill>
      <patternFill patternType="solid">
        <fgColor rgb="FF1783B6"/>
        <bgColor indexed="64"/>
      </patternFill>
    </fill>
    <fill>
      <patternFill patternType="solid">
        <fgColor rgb="FF46698B"/>
        <bgColor indexed="64"/>
      </patternFill>
    </fill>
    <fill>
      <patternFill patternType="solid">
        <fgColor rgb="FF5D5C75"/>
        <bgColor indexed="64"/>
      </patternFill>
    </fill>
    <fill>
      <patternFill patternType="solid">
        <fgColor rgb="FF744F5F"/>
        <bgColor indexed="64"/>
      </patternFill>
    </fill>
    <fill>
      <patternFill patternType="solid">
        <fgColor rgb="FF8C424A"/>
        <bgColor indexed="64"/>
      </patternFill>
    </fill>
    <fill>
      <patternFill patternType="solid">
        <fgColor rgb="FFA33534"/>
        <bgColor indexed="64"/>
      </patternFill>
    </fill>
    <fill>
      <patternFill patternType="solid">
        <fgColor rgb="FFBA281E"/>
        <bgColor indexed="64"/>
      </patternFill>
    </fill>
    <fill>
      <patternFill patternType="solid">
        <fgColor rgb="FFD21B09"/>
        <bgColor indexed="64"/>
      </patternFill>
    </fill>
    <fill>
      <patternFill patternType="solid">
        <fgColor rgb="FF0091CC"/>
        <bgColor indexed="64"/>
      </patternFill>
    </fill>
    <fill>
      <patternFill patternType="solid">
        <fgColor rgb="FF1883B6"/>
        <bgColor indexed="64"/>
      </patternFill>
    </fill>
    <fill>
      <patternFill patternType="solid">
        <fgColor rgb="FF48688A"/>
        <bgColor indexed="64"/>
      </patternFill>
    </fill>
    <fill>
      <patternFill patternType="solid">
        <fgColor rgb="FF605A74"/>
        <bgColor indexed="64"/>
      </patternFill>
    </fill>
    <fill>
      <patternFill patternType="solid">
        <fgColor rgb="FF784D5E"/>
        <bgColor indexed="64"/>
      </patternFill>
    </fill>
    <fill>
      <patternFill patternType="solid">
        <fgColor rgb="FF913F49"/>
        <bgColor indexed="64"/>
      </patternFill>
    </fill>
    <fill>
      <patternFill patternType="solid">
        <fgColor rgb="FFA93133"/>
        <bgColor indexed="64"/>
      </patternFill>
    </fill>
    <fill>
      <patternFill patternType="solid">
        <fgColor rgb="FFC1241D"/>
        <bgColor indexed="64"/>
      </patternFill>
    </fill>
    <fill>
      <patternFill patternType="solid">
        <fgColor rgb="FFD91607"/>
        <bgColor indexed="64"/>
      </patternFill>
    </fill>
    <fill>
      <patternFill patternType="solid">
        <fgColor rgb="FF0093CC"/>
        <bgColor indexed="64"/>
      </patternFill>
    </fill>
    <fill>
      <patternFill patternType="solid">
        <fgColor rgb="FF1984B5"/>
        <bgColor indexed="64"/>
      </patternFill>
    </fill>
    <fill>
      <patternFill patternType="solid">
        <fgColor rgb="FF4B688A"/>
        <bgColor indexed="64"/>
      </patternFill>
    </fill>
    <fill>
      <patternFill patternType="solid">
        <fgColor rgb="FF645974"/>
        <bgColor indexed="64"/>
      </patternFill>
    </fill>
    <fill>
      <patternFill patternType="solid">
        <fgColor rgb="FF7D4B5D"/>
        <bgColor indexed="64"/>
      </patternFill>
    </fill>
    <fill>
      <patternFill patternType="solid">
        <fgColor rgb="FF963D48"/>
        <bgColor indexed="64"/>
      </patternFill>
    </fill>
    <fill>
      <patternFill patternType="solid">
        <fgColor rgb="FFAF2E32"/>
        <bgColor indexed="64"/>
      </patternFill>
    </fill>
    <fill>
      <patternFill patternType="solid">
        <fgColor rgb="FFC8201C"/>
        <bgColor indexed="64"/>
      </patternFill>
    </fill>
    <fill>
      <patternFill patternType="solid">
        <fgColor rgb="FFE11206"/>
        <bgColor indexed="64"/>
      </patternFill>
    </fill>
    <fill>
      <patternFill patternType="solid">
        <fgColor rgb="FF0094CC"/>
        <bgColor indexed="64"/>
      </patternFill>
    </fill>
    <fill>
      <patternFill patternType="solid">
        <fgColor rgb="FF1985B5"/>
        <bgColor indexed="64"/>
      </patternFill>
    </fill>
    <fill>
      <patternFill patternType="solid">
        <fgColor rgb="FF4D6789"/>
        <bgColor indexed="64"/>
      </patternFill>
    </fill>
    <fill>
      <patternFill patternType="solid">
        <fgColor rgb="FF675873"/>
        <bgColor indexed="64"/>
      </patternFill>
    </fill>
    <fill>
      <patternFill patternType="solid">
        <fgColor rgb="FF81495D"/>
        <bgColor indexed="64"/>
      </patternFill>
    </fill>
    <fill>
      <patternFill patternType="solid">
        <fgColor rgb="FF9B3A47"/>
        <bgColor indexed="64"/>
      </patternFill>
    </fill>
    <fill>
      <patternFill patternType="solid">
        <fgColor rgb="FFB42B30"/>
        <bgColor indexed="64"/>
      </patternFill>
    </fill>
    <fill>
      <patternFill patternType="solid">
        <fgColor rgb="FFCE1C1A"/>
        <bgColor indexed="64"/>
      </patternFill>
    </fill>
    <fill>
      <patternFill patternType="solid">
        <fgColor rgb="FFE80D04"/>
        <bgColor indexed="64"/>
      </patternFill>
    </fill>
    <fill>
      <patternFill patternType="solid">
        <fgColor rgb="FF0096CC"/>
        <bgColor indexed="64"/>
      </patternFill>
    </fill>
    <fill>
      <patternFill patternType="solid">
        <fgColor rgb="FF1A86B5"/>
        <bgColor indexed="64"/>
      </patternFill>
    </fill>
    <fill>
      <patternFill patternType="solid">
        <fgColor rgb="FF506789"/>
        <bgColor indexed="64"/>
      </patternFill>
    </fill>
    <fill>
      <patternFill patternType="solid">
        <fgColor rgb="FF6A5772"/>
        <bgColor indexed="64"/>
      </patternFill>
    </fill>
    <fill>
      <patternFill patternType="solid">
        <fgColor rgb="FF85475C"/>
        <bgColor indexed="64"/>
      </patternFill>
    </fill>
    <fill>
      <patternFill patternType="solid">
        <fgColor rgb="FFA03846"/>
        <bgColor indexed="64"/>
      </patternFill>
    </fill>
    <fill>
      <patternFill patternType="solid">
        <fgColor rgb="FFBA282F"/>
        <bgColor indexed="64"/>
      </patternFill>
    </fill>
    <fill>
      <patternFill patternType="solid">
        <fgColor rgb="FFD51819"/>
        <bgColor indexed="64"/>
      </patternFill>
    </fill>
    <fill>
      <patternFill patternType="solid">
        <fgColor rgb="FFF00903"/>
        <bgColor indexed="64"/>
      </patternFill>
    </fill>
    <fill>
      <patternFill patternType="solid">
        <fgColor rgb="FF0097CC"/>
        <bgColor indexed="64"/>
      </patternFill>
    </fill>
    <fill>
      <patternFill patternType="solid">
        <fgColor rgb="FF1B87B5"/>
        <bgColor indexed="64"/>
      </patternFill>
    </fill>
    <fill>
      <patternFill patternType="solid">
        <fgColor rgb="FF526688"/>
        <bgColor indexed="64"/>
      </patternFill>
    </fill>
    <fill>
      <patternFill patternType="solid">
        <fgColor rgb="FF6E5672"/>
        <bgColor indexed="64"/>
      </patternFill>
    </fill>
    <fill>
      <patternFill patternType="solid">
        <fgColor rgb="FF89455B"/>
        <bgColor indexed="64"/>
      </patternFill>
    </fill>
    <fill>
      <patternFill patternType="solid">
        <fgColor rgb="FFA53545"/>
        <bgColor indexed="64"/>
      </patternFill>
    </fill>
    <fill>
      <patternFill patternType="solid">
        <fgColor rgb="FFC0252E"/>
        <bgColor indexed="64"/>
      </patternFill>
    </fill>
    <fill>
      <patternFill patternType="solid">
        <fgColor rgb="FFDC1418"/>
        <bgColor indexed="64"/>
      </patternFill>
    </fill>
    <fill>
      <patternFill patternType="solid">
        <fgColor rgb="FFF70401"/>
        <bgColor indexed="64"/>
      </patternFill>
    </fill>
    <fill>
      <patternFill patternType="solid">
        <fgColor rgb="FF1C88B5"/>
        <bgColor indexed="64"/>
      </patternFill>
    </fill>
    <fill>
      <patternFill patternType="solid">
        <fgColor rgb="FF38779E"/>
        <bgColor indexed="64"/>
      </patternFill>
    </fill>
    <fill>
      <patternFill patternType="solid">
        <fgColor rgb="FF556688"/>
        <bgColor indexed="64"/>
      </patternFill>
    </fill>
    <fill>
      <patternFill patternType="solid">
        <fgColor rgb="FF715571"/>
        <bgColor indexed="64"/>
      </patternFill>
    </fill>
    <fill>
      <patternFill patternType="solid">
        <fgColor rgb="FF8D445A"/>
        <bgColor indexed="64"/>
      </patternFill>
    </fill>
    <fill>
      <patternFill patternType="solid">
        <fgColor rgb="FFAA3344"/>
        <bgColor indexed="64"/>
      </patternFill>
    </fill>
    <fill>
      <patternFill patternType="solid">
        <fgColor rgb="FFC6222D"/>
        <bgColor indexed="64"/>
      </patternFill>
    </fill>
    <fill>
      <patternFill patternType="solid">
        <fgColor rgb="FFE21116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58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7" fillId="20" borderId="0" xfId="0" applyFont="1" applyFill="1"/>
    <xf numFmtId="0" fontId="8" fillId="22" borderId="0" xfId="0" applyFont="1" applyFill="1"/>
    <xf numFmtId="0" fontId="5" fillId="23" borderId="0" xfId="0" applyFont="1" applyFill="1"/>
    <xf numFmtId="0" fontId="6" fillId="23" borderId="0" xfId="0" applyFont="1" applyFill="1" applyAlignment="1">
      <alignment horizontal="center" vertical="center"/>
    </xf>
    <xf numFmtId="0" fontId="9" fillId="23" borderId="0" xfId="0" applyFont="1" applyFill="1" applyAlignment="1">
      <alignment horizontal="center" vertical="center"/>
    </xf>
    <xf numFmtId="0" fontId="4" fillId="24" borderId="0" xfId="0" applyFont="1" applyFill="1" applyAlignment="1">
      <alignment horizontal="center"/>
    </xf>
    <xf numFmtId="0" fontId="4" fillId="25" borderId="0" xfId="0" applyFont="1" applyFill="1" applyAlignment="1">
      <alignment horizontal="center"/>
    </xf>
    <xf numFmtId="0" fontId="4" fillId="26" borderId="0" xfId="0" applyFont="1" applyFill="1" applyAlignment="1">
      <alignment horizontal="center"/>
    </xf>
    <xf numFmtId="0" fontId="4" fillId="27" borderId="0" xfId="0" applyFont="1" applyFill="1"/>
    <xf numFmtId="0" fontId="4" fillId="28" borderId="0" xfId="0" applyFont="1" applyFill="1" applyAlignment="1">
      <alignment horizontal="center"/>
    </xf>
    <xf numFmtId="0" fontId="4" fillId="29" borderId="0" xfId="0" applyFont="1" applyFill="1" applyAlignment="1">
      <alignment horizontal="center"/>
    </xf>
    <xf numFmtId="2" fontId="4" fillId="30" borderId="0" xfId="0" applyNumberFormat="1" applyFont="1" applyFill="1" applyAlignment="1">
      <alignment horizontal="center"/>
    </xf>
    <xf numFmtId="0" fontId="4" fillId="31" borderId="0" xfId="0" applyFont="1" applyFill="1" applyAlignment="1">
      <alignment horizontal="center"/>
    </xf>
    <xf numFmtId="0" fontId="4" fillId="32" borderId="0" xfId="0" applyFont="1" applyFill="1" applyAlignment="1">
      <alignment horizontal="center"/>
    </xf>
    <xf numFmtId="2" fontId="4" fillId="33" borderId="0" xfId="0" applyNumberFormat="1" applyFont="1" applyFill="1" applyAlignment="1">
      <alignment horizontal="center"/>
    </xf>
    <xf numFmtId="0" fontId="4" fillId="34" borderId="0" xfId="0" applyFont="1" applyFill="1" applyAlignment="1">
      <alignment horizontal="center"/>
    </xf>
    <xf numFmtId="0" fontId="4" fillId="35" borderId="0" xfId="0" applyFont="1" applyFill="1" applyAlignment="1">
      <alignment horizontal="center"/>
    </xf>
    <xf numFmtId="0" fontId="4" fillId="36" borderId="0" xfId="0" applyFont="1" applyFill="1"/>
    <xf numFmtId="0" fontId="4" fillId="37" borderId="0" xfId="0" applyFont="1" applyFill="1" applyAlignment="1">
      <alignment horizontal="center"/>
    </xf>
    <xf numFmtId="0" fontId="4" fillId="38" borderId="0" xfId="0" applyFont="1" applyFill="1" applyAlignment="1">
      <alignment horizontal="center"/>
    </xf>
    <xf numFmtId="2" fontId="4" fillId="39" borderId="0" xfId="0" applyNumberFormat="1" applyFont="1" applyFill="1" applyAlignment="1">
      <alignment horizontal="center"/>
    </xf>
    <xf numFmtId="0" fontId="4" fillId="40" borderId="0" xfId="0" applyFont="1" applyFill="1" applyAlignment="1">
      <alignment horizontal="center"/>
    </xf>
    <xf numFmtId="0" fontId="4" fillId="41" borderId="0" xfId="0" applyFont="1" applyFill="1" applyAlignment="1">
      <alignment horizontal="center"/>
    </xf>
    <xf numFmtId="2" fontId="4" fillId="42" borderId="0" xfId="0" applyNumberFormat="1" applyFont="1" applyFill="1" applyAlignment="1">
      <alignment horizontal="center"/>
    </xf>
    <xf numFmtId="0" fontId="4" fillId="43" borderId="0" xfId="0" applyFont="1" applyFill="1" applyAlignment="1">
      <alignment horizontal="center"/>
    </xf>
    <xf numFmtId="0" fontId="4" fillId="44" borderId="0" xfId="0" applyFont="1" applyFill="1" applyAlignment="1">
      <alignment horizontal="center"/>
    </xf>
    <xf numFmtId="0" fontId="4" fillId="45" borderId="0" xfId="0" applyFont="1" applyFill="1"/>
    <xf numFmtId="0" fontId="4" fillId="46" borderId="0" xfId="0" applyFont="1" applyFill="1" applyAlignment="1">
      <alignment horizontal="center"/>
    </xf>
    <xf numFmtId="0" fontId="4" fillId="47" borderId="0" xfId="0" applyFont="1" applyFill="1" applyAlignment="1">
      <alignment horizontal="center"/>
    </xf>
    <xf numFmtId="2" fontId="4" fillId="48" borderId="0" xfId="0" applyNumberFormat="1" applyFont="1" applyFill="1" applyAlignment="1">
      <alignment horizontal="center"/>
    </xf>
    <xf numFmtId="0" fontId="4" fillId="49" borderId="0" xfId="0" applyFont="1" applyFill="1" applyAlignment="1">
      <alignment horizontal="center"/>
    </xf>
    <xf numFmtId="0" fontId="4" fillId="50" borderId="0" xfId="0" applyFont="1" applyFill="1" applyAlignment="1">
      <alignment horizontal="center"/>
    </xf>
    <xf numFmtId="2" fontId="4" fillId="51" borderId="0" xfId="0" applyNumberFormat="1" applyFont="1" applyFill="1" applyAlignment="1">
      <alignment horizontal="center"/>
    </xf>
    <xf numFmtId="0" fontId="4" fillId="52" borderId="0" xfId="0" applyFont="1" applyFill="1" applyAlignment="1">
      <alignment horizontal="center"/>
    </xf>
    <xf numFmtId="0" fontId="4" fillId="53" borderId="0" xfId="0" applyFont="1" applyFill="1" applyAlignment="1">
      <alignment horizontal="center"/>
    </xf>
    <xf numFmtId="0" fontId="4" fillId="54" borderId="0" xfId="0" applyFont="1" applyFill="1"/>
    <xf numFmtId="0" fontId="4" fillId="55" borderId="0" xfId="0" applyFont="1" applyFill="1" applyAlignment="1">
      <alignment horizontal="center"/>
    </xf>
    <xf numFmtId="0" fontId="4" fillId="56" borderId="0" xfId="0" applyFont="1" applyFill="1" applyAlignment="1">
      <alignment horizontal="center"/>
    </xf>
    <xf numFmtId="2" fontId="4" fillId="57" borderId="0" xfId="0" applyNumberFormat="1" applyFont="1" applyFill="1" applyAlignment="1">
      <alignment horizontal="center"/>
    </xf>
    <xf numFmtId="0" fontId="4" fillId="58" borderId="0" xfId="0" applyFont="1" applyFill="1" applyAlignment="1">
      <alignment horizontal="center"/>
    </xf>
    <xf numFmtId="0" fontId="4" fillId="59" borderId="0" xfId="0" applyFont="1" applyFill="1" applyAlignment="1">
      <alignment horizontal="center"/>
    </xf>
    <xf numFmtId="2" fontId="4" fillId="60" borderId="0" xfId="0" applyNumberFormat="1" applyFont="1" applyFill="1" applyAlignment="1">
      <alignment horizontal="center"/>
    </xf>
    <xf numFmtId="0" fontId="4" fillId="61" borderId="0" xfId="0" applyFont="1" applyFill="1" applyAlignment="1">
      <alignment horizontal="center"/>
    </xf>
    <xf numFmtId="0" fontId="4" fillId="62" borderId="0" xfId="0" applyFont="1" applyFill="1" applyAlignment="1">
      <alignment horizontal="center"/>
    </xf>
    <xf numFmtId="0" fontId="4" fillId="63" borderId="0" xfId="0" applyFont="1" applyFill="1"/>
    <xf numFmtId="0" fontId="4" fillId="64" borderId="0" xfId="0" applyFont="1" applyFill="1" applyAlignment="1">
      <alignment horizontal="center"/>
    </xf>
    <xf numFmtId="0" fontId="4" fillId="65" borderId="0" xfId="0" applyFont="1" applyFill="1" applyAlignment="1">
      <alignment horizontal="center"/>
    </xf>
    <xf numFmtId="2" fontId="4" fillId="66" borderId="0" xfId="0" applyNumberFormat="1" applyFont="1" applyFill="1" applyAlignment="1">
      <alignment horizontal="center"/>
    </xf>
    <xf numFmtId="0" fontId="4" fillId="67" borderId="0" xfId="0" applyFont="1" applyFill="1" applyAlignment="1">
      <alignment horizontal="center"/>
    </xf>
    <xf numFmtId="0" fontId="4" fillId="68" borderId="0" xfId="0" applyFont="1" applyFill="1" applyAlignment="1">
      <alignment horizontal="center"/>
    </xf>
    <xf numFmtId="2" fontId="4" fillId="69" borderId="0" xfId="0" applyNumberFormat="1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0" fontId="4" fillId="71" borderId="0" xfId="0" applyFont="1" applyFill="1" applyAlignment="1">
      <alignment horizontal="center"/>
    </xf>
    <xf numFmtId="0" fontId="4" fillId="72" borderId="0" xfId="0" applyFont="1" applyFill="1"/>
    <xf numFmtId="0" fontId="4" fillId="73" borderId="0" xfId="0" applyFont="1" applyFill="1" applyAlignment="1">
      <alignment horizontal="center"/>
    </xf>
    <xf numFmtId="0" fontId="4" fillId="74" borderId="0" xfId="0" applyFont="1" applyFill="1" applyAlignment="1">
      <alignment horizontal="center"/>
    </xf>
    <xf numFmtId="2" fontId="4" fillId="75" borderId="0" xfId="0" applyNumberFormat="1" applyFont="1" applyFill="1" applyAlignment="1">
      <alignment horizontal="center"/>
    </xf>
    <xf numFmtId="0" fontId="4" fillId="76" borderId="0" xfId="0" applyFont="1" applyFill="1" applyAlignment="1">
      <alignment horizontal="center"/>
    </xf>
    <xf numFmtId="0" fontId="4" fillId="77" borderId="0" xfId="0" applyFont="1" applyFill="1" applyAlignment="1">
      <alignment horizontal="center"/>
    </xf>
    <xf numFmtId="2" fontId="4" fillId="78" borderId="0" xfId="0" applyNumberFormat="1" applyFont="1" applyFill="1" applyAlignment="1">
      <alignment horizontal="center"/>
    </xf>
    <xf numFmtId="0" fontId="4" fillId="79" borderId="0" xfId="0" applyFont="1" applyFill="1" applyAlignment="1">
      <alignment horizontal="center"/>
    </xf>
    <xf numFmtId="0" fontId="4" fillId="80" borderId="0" xfId="0" applyFont="1" applyFill="1" applyAlignment="1">
      <alignment horizontal="center"/>
    </xf>
    <xf numFmtId="0" fontId="4" fillId="81" borderId="0" xfId="0" applyFont="1" applyFill="1"/>
    <xf numFmtId="0" fontId="4" fillId="82" borderId="0" xfId="0" applyFont="1" applyFill="1" applyAlignment="1">
      <alignment horizontal="center"/>
    </xf>
    <xf numFmtId="0" fontId="4" fillId="83" borderId="0" xfId="0" applyFont="1" applyFill="1" applyAlignment="1">
      <alignment horizontal="center"/>
    </xf>
    <xf numFmtId="2" fontId="4" fillId="84" borderId="0" xfId="0" applyNumberFormat="1" applyFont="1" applyFill="1" applyAlignment="1">
      <alignment horizontal="center"/>
    </xf>
    <xf numFmtId="0" fontId="4" fillId="85" borderId="0" xfId="0" applyFont="1" applyFill="1" applyAlignment="1">
      <alignment horizontal="center"/>
    </xf>
    <xf numFmtId="0" fontId="4" fillId="86" borderId="0" xfId="0" applyFont="1" applyFill="1" applyAlignment="1">
      <alignment horizontal="center"/>
    </xf>
    <xf numFmtId="2" fontId="4" fillId="87" borderId="0" xfId="0" applyNumberFormat="1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0" fontId="4" fillId="89" borderId="0" xfId="0" applyFont="1" applyFill="1" applyAlignment="1">
      <alignment horizontal="center"/>
    </xf>
    <xf numFmtId="0" fontId="4" fillId="90" borderId="0" xfId="0" applyFont="1" applyFill="1"/>
    <xf numFmtId="0" fontId="4" fillId="91" borderId="0" xfId="0" applyFont="1" applyFill="1" applyAlignment="1">
      <alignment horizontal="center"/>
    </xf>
    <xf numFmtId="0" fontId="4" fillId="92" borderId="0" xfId="0" applyFont="1" applyFill="1" applyAlignment="1">
      <alignment horizontal="center"/>
    </xf>
    <xf numFmtId="2" fontId="4" fillId="93" borderId="0" xfId="0" applyNumberFormat="1" applyFont="1" applyFill="1" applyAlignment="1">
      <alignment horizontal="center"/>
    </xf>
    <xf numFmtId="0" fontId="4" fillId="94" borderId="0" xfId="0" applyFont="1" applyFill="1" applyAlignment="1">
      <alignment horizontal="center"/>
    </xf>
    <xf numFmtId="0" fontId="4" fillId="95" borderId="0" xfId="0" applyFont="1" applyFill="1" applyAlignment="1">
      <alignment horizontal="center"/>
    </xf>
    <xf numFmtId="2" fontId="4" fillId="96" borderId="0" xfId="0" applyNumberFormat="1" applyFont="1" applyFill="1" applyAlignment="1">
      <alignment horizontal="center"/>
    </xf>
    <xf numFmtId="0" fontId="4" fillId="97" borderId="0" xfId="0" applyFont="1" applyFill="1" applyAlignment="1">
      <alignment horizontal="center"/>
    </xf>
    <xf numFmtId="0" fontId="4" fillId="98" borderId="0" xfId="0" applyFont="1" applyFill="1" applyAlignment="1">
      <alignment horizontal="center"/>
    </xf>
    <xf numFmtId="0" fontId="4" fillId="99" borderId="0" xfId="0" applyFont="1" applyFill="1"/>
    <xf numFmtId="0" fontId="4" fillId="100" borderId="0" xfId="0" applyFont="1" applyFill="1" applyAlignment="1">
      <alignment horizontal="center"/>
    </xf>
    <xf numFmtId="0" fontId="4" fillId="101" borderId="0" xfId="0" applyFont="1" applyFill="1" applyAlignment="1">
      <alignment horizontal="center"/>
    </xf>
    <xf numFmtId="2" fontId="4" fillId="102" borderId="0" xfId="0" applyNumberFormat="1" applyFont="1" applyFill="1" applyAlignment="1">
      <alignment horizontal="center"/>
    </xf>
    <xf numFmtId="0" fontId="4" fillId="103" borderId="0" xfId="0" applyFont="1" applyFill="1" applyAlignment="1">
      <alignment horizontal="center"/>
    </xf>
    <xf numFmtId="0" fontId="4" fillId="104" borderId="0" xfId="0" applyFont="1" applyFill="1" applyAlignment="1">
      <alignment horizontal="center"/>
    </xf>
    <xf numFmtId="2" fontId="4" fillId="105" borderId="0" xfId="0" applyNumberFormat="1" applyFont="1" applyFill="1" applyAlignment="1">
      <alignment horizontal="center"/>
    </xf>
    <xf numFmtId="0" fontId="4" fillId="106" borderId="0" xfId="0" applyFont="1" applyFill="1" applyAlignment="1">
      <alignment horizontal="center"/>
    </xf>
    <xf numFmtId="0" fontId="4" fillId="107" borderId="0" xfId="0" applyFont="1" applyFill="1" applyAlignment="1">
      <alignment horizontal="center"/>
    </xf>
    <xf numFmtId="0" fontId="4" fillId="108" borderId="0" xfId="0" applyFont="1" applyFill="1"/>
    <xf numFmtId="0" fontId="4" fillId="109" borderId="0" xfId="0" applyFont="1" applyFill="1" applyAlignment="1">
      <alignment horizontal="center"/>
    </xf>
    <xf numFmtId="0" fontId="4" fillId="110" borderId="0" xfId="0" applyFont="1" applyFill="1" applyAlignment="1">
      <alignment horizontal="center"/>
    </xf>
    <xf numFmtId="2" fontId="4" fillId="111" borderId="0" xfId="0" applyNumberFormat="1" applyFont="1" applyFill="1" applyAlignment="1">
      <alignment horizontal="center"/>
    </xf>
    <xf numFmtId="0" fontId="4" fillId="112" borderId="0" xfId="0" applyFont="1" applyFill="1" applyAlignment="1">
      <alignment horizontal="center"/>
    </xf>
    <xf numFmtId="0" fontId="4" fillId="113" borderId="0" xfId="0" applyFont="1" applyFill="1" applyAlignment="1">
      <alignment horizontal="center"/>
    </xf>
    <xf numFmtId="2" fontId="4" fillId="114" borderId="0" xfId="0" applyNumberFormat="1" applyFont="1" applyFill="1" applyAlignment="1">
      <alignment horizontal="center"/>
    </xf>
    <xf numFmtId="0" fontId="4" fillId="115" borderId="0" xfId="0" applyFont="1" applyFill="1" applyAlignment="1">
      <alignment horizontal="center"/>
    </xf>
    <xf numFmtId="0" fontId="4" fillId="116" borderId="0" xfId="0" applyFont="1" applyFill="1" applyAlignment="1">
      <alignment horizontal="center"/>
    </xf>
    <xf numFmtId="0" fontId="4" fillId="117" borderId="0" xfId="0" applyFont="1" applyFill="1"/>
    <xf numFmtId="0" fontId="4" fillId="118" borderId="0" xfId="0" applyFont="1" applyFill="1" applyAlignment="1">
      <alignment horizontal="center"/>
    </xf>
    <xf numFmtId="0" fontId="4" fillId="119" borderId="0" xfId="0" applyFont="1" applyFill="1" applyAlignment="1">
      <alignment horizontal="center"/>
    </xf>
    <xf numFmtId="2" fontId="4" fillId="120" borderId="0" xfId="0" applyNumberFormat="1" applyFont="1" applyFill="1" applyAlignment="1">
      <alignment horizontal="center"/>
    </xf>
    <xf numFmtId="0" fontId="4" fillId="121" borderId="0" xfId="0" applyFont="1" applyFill="1" applyAlignment="1">
      <alignment horizontal="center"/>
    </xf>
    <xf numFmtId="0" fontId="4" fillId="122" borderId="0" xfId="0" applyFont="1" applyFill="1" applyAlignment="1">
      <alignment horizontal="center"/>
    </xf>
    <xf numFmtId="2" fontId="4" fillId="123" borderId="0" xfId="0" applyNumberFormat="1" applyFont="1" applyFill="1" applyAlignment="1">
      <alignment horizontal="center"/>
    </xf>
    <xf numFmtId="0" fontId="4" fillId="124" borderId="0" xfId="0" applyFont="1" applyFill="1" applyAlignment="1">
      <alignment horizontal="center"/>
    </xf>
    <xf numFmtId="0" fontId="4" fillId="125" borderId="0" xfId="0" applyFont="1" applyFill="1" applyAlignment="1">
      <alignment horizontal="center"/>
    </xf>
    <xf numFmtId="0" fontId="4" fillId="126" borderId="0" xfId="0" applyFont="1" applyFill="1"/>
    <xf numFmtId="0" fontId="4" fillId="127" borderId="0" xfId="0" applyFont="1" applyFill="1" applyAlignment="1">
      <alignment horizontal="center"/>
    </xf>
    <xf numFmtId="0" fontId="4" fillId="128" borderId="0" xfId="0" applyFont="1" applyFill="1" applyAlignment="1">
      <alignment horizontal="center"/>
    </xf>
    <xf numFmtId="2" fontId="4" fillId="129" borderId="0" xfId="0" applyNumberFormat="1" applyFont="1" applyFill="1" applyAlignment="1">
      <alignment horizontal="center"/>
    </xf>
    <xf numFmtId="0" fontId="4" fillId="130" borderId="0" xfId="0" applyFont="1" applyFill="1" applyAlignment="1">
      <alignment horizontal="center"/>
    </xf>
    <xf numFmtId="0" fontId="4" fillId="131" borderId="0" xfId="0" applyFont="1" applyFill="1" applyAlignment="1">
      <alignment horizontal="center"/>
    </xf>
    <xf numFmtId="2" fontId="4" fillId="132" borderId="0" xfId="0" applyNumberFormat="1" applyFont="1" applyFill="1" applyAlignment="1">
      <alignment horizontal="center"/>
    </xf>
    <xf numFmtId="0" fontId="4" fillId="133" borderId="0" xfId="0" applyFont="1" applyFill="1" applyAlignment="1">
      <alignment horizontal="center"/>
    </xf>
    <xf numFmtId="0" fontId="4" fillId="134" borderId="0" xfId="0" applyFont="1" applyFill="1" applyAlignment="1">
      <alignment horizontal="center"/>
    </xf>
    <xf numFmtId="0" fontId="4" fillId="135" borderId="0" xfId="0" applyFont="1" applyFill="1"/>
    <xf numFmtId="0" fontId="4" fillId="136" borderId="0" xfId="0" applyFont="1" applyFill="1" applyAlignment="1">
      <alignment horizontal="center"/>
    </xf>
    <xf numFmtId="0" fontId="4" fillId="137" borderId="0" xfId="0" applyFont="1" applyFill="1" applyAlignment="1">
      <alignment horizontal="center"/>
    </xf>
    <xf numFmtId="2" fontId="4" fillId="138" borderId="0" xfId="0" applyNumberFormat="1" applyFont="1" applyFill="1" applyAlignment="1">
      <alignment horizontal="center"/>
    </xf>
    <xf numFmtId="0" fontId="4" fillId="139" borderId="0" xfId="0" applyFont="1" applyFill="1" applyAlignment="1">
      <alignment horizontal="center"/>
    </xf>
    <xf numFmtId="0" fontId="4" fillId="140" borderId="0" xfId="0" applyFont="1" applyFill="1" applyAlignment="1">
      <alignment horizontal="center"/>
    </xf>
    <xf numFmtId="2" fontId="4" fillId="141" borderId="0" xfId="0" applyNumberFormat="1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0" fontId="4" fillId="143" borderId="0" xfId="0" applyFont="1" applyFill="1" applyAlignment="1">
      <alignment horizontal="center"/>
    </xf>
    <xf numFmtId="0" fontId="4" fillId="144" borderId="0" xfId="0" applyFont="1" applyFill="1"/>
    <xf numFmtId="0" fontId="4" fillId="145" borderId="0" xfId="0" applyFont="1" applyFill="1" applyAlignment="1">
      <alignment horizontal="center"/>
    </xf>
    <xf numFmtId="0" fontId="4" fillId="146" borderId="0" xfId="0" applyFont="1" applyFill="1" applyAlignment="1">
      <alignment horizontal="center"/>
    </xf>
    <xf numFmtId="2" fontId="4" fillId="147" borderId="0" xfId="0" applyNumberFormat="1" applyFont="1" applyFill="1" applyAlignment="1">
      <alignment horizontal="center"/>
    </xf>
    <xf numFmtId="0" fontId="4" fillId="148" borderId="0" xfId="0" applyFont="1" applyFill="1" applyAlignment="1">
      <alignment horizontal="center"/>
    </xf>
    <xf numFmtId="0" fontId="4" fillId="149" borderId="0" xfId="0" applyFont="1" applyFill="1" applyAlignment="1">
      <alignment horizontal="center"/>
    </xf>
    <xf numFmtId="2" fontId="4" fillId="150" borderId="0" xfId="0" applyNumberFormat="1" applyFont="1" applyFill="1" applyAlignment="1">
      <alignment horizontal="center"/>
    </xf>
    <xf numFmtId="0" fontId="4" fillId="151" borderId="0" xfId="0" applyFont="1" applyFill="1" applyAlignment="1">
      <alignment horizontal="center"/>
    </xf>
    <xf numFmtId="0" fontId="4" fillId="152" borderId="0" xfId="0" applyFont="1" applyFill="1" applyAlignment="1">
      <alignment horizontal="center"/>
    </xf>
    <xf numFmtId="0" fontId="4" fillId="153" borderId="0" xfId="0" applyFont="1" applyFill="1"/>
    <xf numFmtId="0" fontId="4" fillId="154" borderId="0" xfId="0" applyFont="1" applyFill="1" applyAlignment="1">
      <alignment horizontal="center"/>
    </xf>
    <xf numFmtId="0" fontId="4" fillId="155" borderId="0" xfId="0" applyFont="1" applyFill="1" applyAlignment="1">
      <alignment horizontal="center"/>
    </xf>
    <xf numFmtId="2" fontId="4" fillId="156" borderId="0" xfId="0" applyNumberFormat="1" applyFont="1" applyFill="1" applyAlignment="1">
      <alignment horizontal="center"/>
    </xf>
    <xf numFmtId="0" fontId="4" fillId="157" borderId="0" xfId="0" applyFont="1" applyFill="1" applyAlignment="1">
      <alignment horizontal="center"/>
    </xf>
    <xf numFmtId="0" fontId="4" fillId="158" borderId="0" xfId="0" applyFont="1" applyFill="1" applyAlignment="1">
      <alignment horizontal="center"/>
    </xf>
    <xf numFmtId="2" fontId="4" fillId="159" borderId="0" xfId="0" applyNumberFormat="1" applyFont="1" applyFill="1" applyAlignment="1">
      <alignment horizontal="center"/>
    </xf>
    <xf numFmtId="0" fontId="4" fillId="160" borderId="0" xfId="0" applyFont="1" applyFill="1" applyAlignment="1">
      <alignment horizontal="center"/>
    </xf>
    <xf numFmtId="0" fontId="4" fillId="161" borderId="0" xfId="0" applyFont="1" applyFill="1" applyAlignment="1">
      <alignment horizontal="center"/>
    </xf>
    <xf numFmtId="0" fontId="4" fillId="162" borderId="0" xfId="0" applyFont="1" applyFill="1"/>
    <xf numFmtId="0" fontId="4" fillId="163" borderId="0" xfId="0" applyFont="1" applyFill="1" applyAlignment="1">
      <alignment horizontal="center"/>
    </xf>
    <xf numFmtId="0" fontId="4" fillId="164" borderId="0" xfId="0" applyFont="1" applyFill="1" applyAlignment="1">
      <alignment horizontal="center"/>
    </xf>
    <xf numFmtId="2" fontId="4" fillId="165" borderId="0" xfId="0" applyNumberFormat="1" applyFont="1" applyFill="1" applyAlignment="1">
      <alignment horizontal="center"/>
    </xf>
    <xf numFmtId="0" fontId="4" fillId="166" borderId="0" xfId="0" applyFont="1" applyFill="1" applyAlignment="1">
      <alignment horizontal="center"/>
    </xf>
    <xf numFmtId="0" fontId="4" fillId="167" borderId="0" xfId="0" applyFont="1" applyFill="1" applyAlignment="1">
      <alignment horizontal="center"/>
    </xf>
    <xf numFmtId="2" fontId="4" fillId="168" borderId="0" xfId="0" applyNumberFormat="1" applyFont="1" applyFill="1" applyAlignment="1">
      <alignment horizontal="center"/>
    </xf>
    <xf numFmtId="0" fontId="4" fillId="169" borderId="0" xfId="0" applyFont="1" applyFill="1" applyAlignment="1">
      <alignment horizontal="center"/>
    </xf>
    <xf numFmtId="0" fontId="4" fillId="170" borderId="0" xfId="0" applyFont="1" applyFill="1" applyAlignment="1">
      <alignment horizontal="center"/>
    </xf>
    <xf numFmtId="0" fontId="4" fillId="171" borderId="0" xfId="0" applyFont="1" applyFill="1"/>
    <xf numFmtId="0" fontId="4" fillId="172" borderId="0" xfId="0" applyFont="1" applyFill="1" applyAlignment="1">
      <alignment horizontal="center"/>
    </xf>
    <xf numFmtId="0" fontId="4" fillId="173" borderId="0" xfId="0" applyFont="1" applyFill="1" applyAlignment="1">
      <alignment horizontal="center"/>
    </xf>
    <xf numFmtId="2" fontId="4" fillId="174" borderId="0" xfId="0" applyNumberFormat="1" applyFont="1" applyFill="1" applyAlignment="1">
      <alignment horizontal="center"/>
    </xf>
    <xf numFmtId="0" fontId="4" fillId="175" borderId="0" xfId="0" applyFont="1" applyFill="1" applyAlignment="1">
      <alignment horizontal="center"/>
    </xf>
    <xf numFmtId="0" fontId="4" fillId="176" borderId="0" xfId="0" applyFont="1" applyFill="1" applyAlignment="1">
      <alignment horizontal="center"/>
    </xf>
    <xf numFmtId="2" fontId="4" fillId="177" borderId="0" xfId="0" applyNumberFormat="1" applyFont="1" applyFill="1" applyAlignment="1">
      <alignment horizontal="center"/>
    </xf>
    <xf numFmtId="0" fontId="4" fillId="178" borderId="0" xfId="0" applyFont="1" applyFill="1" applyAlignment="1">
      <alignment horizontal="center"/>
    </xf>
    <xf numFmtId="0" fontId="4" fillId="179" borderId="0" xfId="0" applyFont="1" applyFill="1" applyAlignment="1">
      <alignment horizontal="center"/>
    </xf>
    <xf numFmtId="0" fontId="4" fillId="180" borderId="0" xfId="0" applyFont="1" applyFill="1"/>
    <xf numFmtId="0" fontId="4" fillId="181" borderId="0" xfId="0" applyFont="1" applyFill="1" applyAlignment="1">
      <alignment horizontal="center"/>
    </xf>
    <xf numFmtId="0" fontId="4" fillId="182" borderId="0" xfId="0" applyFont="1" applyFill="1" applyAlignment="1">
      <alignment horizontal="center"/>
    </xf>
    <xf numFmtId="2" fontId="4" fillId="183" borderId="0" xfId="0" applyNumberFormat="1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0" fontId="4" fillId="185" borderId="0" xfId="0" applyFont="1" applyFill="1" applyAlignment="1">
      <alignment horizontal="center"/>
    </xf>
    <xf numFmtId="2" fontId="4" fillId="186" borderId="0" xfId="0" applyNumberFormat="1" applyFont="1" applyFill="1" applyAlignment="1">
      <alignment horizontal="center"/>
    </xf>
    <xf numFmtId="0" fontId="4" fillId="187" borderId="0" xfId="0" applyFont="1" applyFill="1" applyAlignment="1">
      <alignment horizontal="center"/>
    </xf>
    <xf numFmtId="0" fontId="4" fillId="188" borderId="0" xfId="0" applyFont="1" applyFill="1" applyAlignment="1">
      <alignment horizontal="center"/>
    </xf>
    <xf numFmtId="0" fontId="4" fillId="189" borderId="0" xfId="0" applyFont="1" applyFill="1"/>
    <xf numFmtId="0" fontId="4" fillId="190" borderId="0" xfId="0" applyFont="1" applyFill="1" applyAlignment="1">
      <alignment horizontal="center"/>
    </xf>
    <xf numFmtId="0" fontId="4" fillId="191" borderId="0" xfId="0" applyFont="1" applyFill="1" applyAlignment="1">
      <alignment horizontal="center"/>
    </xf>
    <xf numFmtId="2" fontId="4" fillId="192" borderId="0" xfId="0" applyNumberFormat="1" applyFont="1" applyFill="1" applyAlignment="1">
      <alignment horizontal="center"/>
    </xf>
    <xf numFmtId="0" fontId="4" fillId="193" borderId="0" xfId="0" applyFont="1" applyFill="1" applyAlignment="1">
      <alignment horizontal="center"/>
    </xf>
    <xf numFmtId="0" fontId="4" fillId="194" borderId="0" xfId="0" applyFont="1" applyFill="1" applyAlignment="1">
      <alignment horizontal="center"/>
    </xf>
    <xf numFmtId="2" fontId="4" fillId="195" borderId="0" xfId="0" applyNumberFormat="1" applyFont="1" applyFill="1" applyAlignment="1">
      <alignment horizontal="center"/>
    </xf>
    <xf numFmtId="0" fontId="4" fillId="196" borderId="0" xfId="0" applyFont="1" applyFill="1" applyAlignment="1">
      <alignment horizontal="center"/>
    </xf>
    <xf numFmtId="0" fontId="4" fillId="197" borderId="0" xfId="0" applyFont="1" applyFill="1" applyAlignment="1">
      <alignment horizontal="center"/>
    </xf>
    <xf numFmtId="0" fontId="4" fillId="198" borderId="0" xfId="0" applyFont="1" applyFill="1"/>
    <xf numFmtId="0" fontId="4" fillId="199" borderId="0" xfId="0" applyFont="1" applyFill="1" applyAlignment="1">
      <alignment horizontal="center"/>
    </xf>
    <xf numFmtId="0" fontId="4" fillId="200" borderId="0" xfId="0" applyFont="1" applyFill="1" applyAlignment="1">
      <alignment horizontal="center"/>
    </xf>
    <xf numFmtId="2" fontId="4" fillId="201" borderId="0" xfId="0" applyNumberFormat="1" applyFont="1" applyFill="1" applyAlignment="1">
      <alignment horizontal="center"/>
    </xf>
    <xf numFmtId="0" fontId="4" fillId="202" borderId="0" xfId="0" applyFont="1" applyFill="1" applyAlignment="1">
      <alignment horizontal="center"/>
    </xf>
    <xf numFmtId="0" fontId="4" fillId="203" borderId="0" xfId="0" applyFont="1" applyFill="1" applyAlignment="1">
      <alignment horizontal="center"/>
    </xf>
    <xf numFmtId="2" fontId="4" fillId="204" borderId="0" xfId="0" applyNumberFormat="1" applyFont="1" applyFill="1" applyAlignment="1">
      <alignment horizontal="center"/>
    </xf>
    <xf numFmtId="0" fontId="4" fillId="205" borderId="0" xfId="0" applyFont="1" applyFill="1" applyAlignment="1">
      <alignment horizontal="center"/>
    </xf>
    <xf numFmtId="0" fontId="4" fillId="206" borderId="0" xfId="0" applyFont="1" applyFill="1" applyAlignment="1">
      <alignment horizontal="center"/>
    </xf>
    <xf numFmtId="0" fontId="4" fillId="207" borderId="0" xfId="0" applyFont="1" applyFill="1"/>
    <xf numFmtId="0" fontId="4" fillId="208" borderId="0" xfId="0" applyFont="1" applyFill="1" applyAlignment="1">
      <alignment horizontal="center"/>
    </xf>
    <xf numFmtId="0" fontId="4" fillId="209" borderId="0" xfId="0" applyFont="1" applyFill="1" applyAlignment="1">
      <alignment horizontal="center"/>
    </xf>
    <xf numFmtId="2" fontId="4" fillId="210" borderId="0" xfId="0" applyNumberFormat="1" applyFont="1" applyFill="1" applyAlignment="1">
      <alignment horizontal="center"/>
    </xf>
    <xf numFmtId="0" fontId="4" fillId="211" borderId="0" xfId="0" applyFont="1" applyFill="1" applyAlignment="1">
      <alignment horizontal="center"/>
    </xf>
    <xf numFmtId="0" fontId="4" fillId="212" borderId="0" xfId="0" applyFont="1" applyFill="1" applyAlignment="1">
      <alignment horizontal="center"/>
    </xf>
    <xf numFmtId="2" fontId="4" fillId="213" borderId="0" xfId="0" applyNumberFormat="1" applyFont="1" applyFill="1" applyAlignment="1">
      <alignment horizontal="center"/>
    </xf>
    <xf numFmtId="0" fontId="4" fillId="214" borderId="0" xfId="0" applyFont="1" applyFill="1" applyAlignment="1">
      <alignment horizontal="center"/>
    </xf>
    <xf numFmtId="0" fontId="4" fillId="215" borderId="0" xfId="0" applyFont="1" applyFill="1" applyAlignment="1">
      <alignment horizontal="center"/>
    </xf>
    <xf numFmtId="0" fontId="4" fillId="216" borderId="0" xfId="0" applyFont="1" applyFill="1"/>
    <xf numFmtId="0" fontId="4" fillId="217" borderId="0" xfId="0" applyFont="1" applyFill="1" applyAlignment="1">
      <alignment horizontal="center"/>
    </xf>
    <xf numFmtId="0" fontId="4" fillId="218" borderId="0" xfId="0" applyFont="1" applyFill="1" applyAlignment="1">
      <alignment horizontal="center"/>
    </xf>
    <xf numFmtId="2" fontId="4" fillId="219" borderId="0" xfId="0" applyNumberFormat="1" applyFont="1" applyFill="1" applyAlignment="1">
      <alignment horizontal="center"/>
    </xf>
    <xf numFmtId="0" fontId="4" fillId="220" borderId="0" xfId="0" applyFont="1" applyFill="1" applyAlignment="1">
      <alignment horizontal="center"/>
    </xf>
    <xf numFmtId="0" fontId="4" fillId="221" borderId="0" xfId="0" applyFont="1" applyFill="1" applyAlignment="1">
      <alignment horizontal="center"/>
    </xf>
    <xf numFmtId="2" fontId="4" fillId="222" borderId="0" xfId="0" applyNumberFormat="1" applyFont="1" applyFill="1" applyAlignment="1">
      <alignment horizontal="center"/>
    </xf>
    <xf numFmtId="0" fontId="4" fillId="223" borderId="0" xfId="0" applyFont="1" applyFill="1" applyAlignment="1">
      <alignment horizontal="center"/>
    </xf>
    <xf numFmtId="0" fontId="4" fillId="224" borderId="0" xfId="0" applyFont="1" applyFill="1" applyAlignment="1">
      <alignment horizontal="center"/>
    </xf>
    <xf numFmtId="0" fontId="4" fillId="225" borderId="0" xfId="0" applyFont="1" applyFill="1"/>
    <xf numFmtId="0" fontId="4" fillId="226" borderId="0" xfId="0" applyFont="1" applyFill="1" applyAlignment="1">
      <alignment horizontal="center"/>
    </xf>
    <xf numFmtId="0" fontId="4" fillId="227" borderId="0" xfId="0" applyFont="1" applyFill="1" applyAlignment="1">
      <alignment horizontal="center"/>
    </xf>
    <xf numFmtId="2" fontId="4" fillId="228" borderId="0" xfId="0" applyNumberFormat="1" applyFont="1" applyFill="1" applyAlignment="1">
      <alignment horizontal="center"/>
    </xf>
    <xf numFmtId="0" fontId="4" fillId="229" borderId="0" xfId="0" applyFont="1" applyFill="1" applyAlignment="1">
      <alignment horizontal="center"/>
    </xf>
    <xf numFmtId="0" fontId="4" fillId="230" borderId="0" xfId="0" applyFont="1" applyFill="1" applyAlignment="1">
      <alignment horizontal="center"/>
    </xf>
    <xf numFmtId="2" fontId="4" fillId="231" borderId="0" xfId="0" applyNumberFormat="1" applyFont="1" applyFill="1" applyAlignment="1">
      <alignment horizontal="center"/>
    </xf>
    <xf numFmtId="0" fontId="4" fillId="232" borderId="0" xfId="0" applyFont="1" applyFill="1" applyAlignment="1">
      <alignment horizontal="center"/>
    </xf>
    <xf numFmtId="0" fontId="4" fillId="233" borderId="0" xfId="0" applyFont="1" applyFill="1" applyAlignment="1">
      <alignment horizontal="center"/>
    </xf>
    <xf numFmtId="0" fontId="4" fillId="234" borderId="0" xfId="0" applyFont="1" applyFill="1"/>
    <xf numFmtId="0" fontId="4" fillId="235" borderId="0" xfId="0" applyFont="1" applyFill="1" applyAlignment="1">
      <alignment horizontal="center"/>
    </xf>
    <xf numFmtId="0" fontId="4" fillId="236" borderId="0" xfId="0" applyFont="1" applyFill="1" applyAlignment="1">
      <alignment horizontal="center"/>
    </xf>
    <xf numFmtId="2" fontId="4" fillId="237" borderId="0" xfId="0" applyNumberFormat="1" applyFont="1" applyFill="1" applyAlignment="1">
      <alignment horizontal="center"/>
    </xf>
    <xf numFmtId="0" fontId="4" fillId="238" borderId="0" xfId="0" applyFont="1" applyFill="1" applyAlignment="1">
      <alignment horizontal="center"/>
    </xf>
    <xf numFmtId="0" fontId="4" fillId="239" borderId="0" xfId="0" applyFont="1" applyFill="1" applyAlignment="1">
      <alignment horizontal="center"/>
    </xf>
    <xf numFmtId="2" fontId="4" fillId="240" borderId="0" xfId="0" applyNumberFormat="1" applyFont="1" applyFill="1" applyAlignment="1">
      <alignment horizontal="center"/>
    </xf>
    <xf numFmtId="0" fontId="4" fillId="241" borderId="0" xfId="0" applyFont="1" applyFill="1" applyAlignment="1">
      <alignment horizontal="center"/>
    </xf>
    <xf numFmtId="0" fontId="4" fillId="242" borderId="0" xfId="0" applyFont="1" applyFill="1" applyAlignment="1">
      <alignment horizontal="center"/>
    </xf>
    <xf numFmtId="0" fontId="4" fillId="243" borderId="0" xfId="0" applyFont="1" applyFill="1"/>
    <xf numFmtId="0" fontId="4" fillId="244" borderId="0" xfId="0" applyFont="1" applyFill="1" applyAlignment="1">
      <alignment horizontal="center"/>
    </xf>
    <xf numFmtId="0" fontId="4" fillId="245" borderId="0" xfId="0" applyFont="1" applyFill="1" applyAlignment="1">
      <alignment horizontal="center"/>
    </xf>
    <xf numFmtId="2" fontId="4" fillId="246" borderId="0" xfId="0" applyNumberFormat="1" applyFont="1" applyFill="1" applyAlignment="1">
      <alignment horizontal="center"/>
    </xf>
    <xf numFmtId="0" fontId="4" fillId="247" borderId="0" xfId="0" applyFont="1" applyFill="1" applyAlignment="1">
      <alignment horizontal="center"/>
    </xf>
    <xf numFmtId="0" fontId="4" fillId="248" borderId="0" xfId="0" applyFont="1" applyFill="1" applyAlignment="1">
      <alignment horizontal="center"/>
    </xf>
    <xf numFmtId="2" fontId="4" fillId="249" borderId="0" xfId="0" applyNumberFormat="1" applyFont="1" applyFill="1" applyAlignment="1">
      <alignment horizontal="center"/>
    </xf>
    <xf numFmtId="0" fontId="4" fillId="250" borderId="0" xfId="0" applyFont="1" applyFill="1" applyAlignment="1">
      <alignment horizontal="center"/>
    </xf>
    <xf numFmtId="0" fontId="4" fillId="251" borderId="0" xfId="0" applyFont="1" applyFill="1" applyAlignment="1">
      <alignment horizontal="center"/>
    </xf>
    <xf numFmtId="0" fontId="4" fillId="252" borderId="0" xfId="0" applyFont="1" applyFill="1"/>
    <xf numFmtId="0" fontId="4" fillId="253" borderId="0" xfId="0" applyFont="1" applyFill="1" applyAlignment="1">
      <alignment horizontal="center"/>
    </xf>
    <xf numFmtId="0" fontId="4" fillId="254" borderId="0" xfId="0" applyFont="1" applyFill="1" applyAlignment="1">
      <alignment horizontal="center"/>
    </xf>
    <xf numFmtId="2" fontId="4" fillId="255" borderId="0" xfId="0" applyNumberFormat="1" applyFont="1" applyFill="1" applyAlignment="1">
      <alignment horizontal="center"/>
    </xf>
    <xf numFmtId="0" fontId="4" fillId="256" borderId="0" xfId="0" applyFont="1" applyFill="1" applyAlignment="1">
      <alignment horizontal="center"/>
    </xf>
    <xf numFmtId="0" fontId="4" fillId="257" borderId="0" xfId="0" applyFont="1" applyFill="1" applyAlignment="1">
      <alignment horizontal="center"/>
    </xf>
    <xf numFmtId="2" fontId="4" fillId="258" borderId="0" xfId="0" applyNumberFormat="1" applyFont="1" applyFill="1" applyAlignment="1">
      <alignment horizontal="center"/>
    </xf>
    <xf numFmtId="0" fontId="4" fillId="259" borderId="0" xfId="0" applyFont="1" applyFill="1" applyAlignment="1">
      <alignment horizontal="center"/>
    </xf>
    <xf numFmtId="0" fontId="4" fillId="260" borderId="0" xfId="0" applyFont="1" applyFill="1" applyAlignment="1">
      <alignment horizontal="center"/>
    </xf>
    <xf numFmtId="0" fontId="4" fillId="261" borderId="0" xfId="0" applyFont="1" applyFill="1"/>
    <xf numFmtId="0" fontId="4" fillId="262" borderId="0" xfId="0" applyFont="1" applyFill="1" applyAlignment="1">
      <alignment horizontal="center"/>
    </xf>
    <xf numFmtId="0" fontId="4" fillId="263" borderId="0" xfId="0" applyFont="1" applyFill="1" applyAlignment="1">
      <alignment horizontal="center"/>
    </xf>
    <xf numFmtId="2" fontId="4" fillId="264" borderId="0" xfId="0" applyNumberFormat="1" applyFont="1" applyFill="1" applyAlignment="1">
      <alignment horizontal="center"/>
    </xf>
    <xf numFmtId="0" fontId="4" fillId="265" borderId="0" xfId="0" applyFont="1" applyFill="1" applyAlignment="1">
      <alignment horizontal="center"/>
    </xf>
    <xf numFmtId="0" fontId="4" fillId="266" borderId="0" xfId="0" applyFont="1" applyFill="1" applyAlignment="1">
      <alignment horizontal="center"/>
    </xf>
    <xf numFmtId="2" fontId="4" fillId="267" borderId="0" xfId="0" applyNumberFormat="1" applyFont="1" applyFill="1" applyAlignment="1">
      <alignment horizontal="center"/>
    </xf>
    <xf numFmtId="0" fontId="4" fillId="268" borderId="0" xfId="0" applyFont="1" applyFill="1" applyAlignment="1">
      <alignment horizontal="center"/>
    </xf>
    <xf numFmtId="0" fontId="4" fillId="269" borderId="0" xfId="0" applyFont="1" applyFill="1" applyAlignment="1">
      <alignment horizontal="center"/>
    </xf>
    <xf numFmtId="0" fontId="4" fillId="270" borderId="0" xfId="0" applyFont="1" applyFill="1"/>
    <xf numFmtId="0" fontId="4" fillId="271" borderId="0" xfId="0" applyFont="1" applyFill="1" applyAlignment="1">
      <alignment horizontal="center"/>
    </xf>
    <xf numFmtId="0" fontId="4" fillId="272" borderId="0" xfId="0" applyFont="1" applyFill="1" applyAlignment="1">
      <alignment horizontal="center"/>
    </xf>
    <xf numFmtId="2" fontId="4" fillId="273" borderId="0" xfId="0" applyNumberFormat="1" applyFont="1" applyFill="1" applyAlignment="1">
      <alignment horizontal="center"/>
    </xf>
    <xf numFmtId="0" fontId="4" fillId="274" borderId="0" xfId="0" applyFont="1" applyFill="1" applyAlignment="1">
      <alignment horizontal="center"/>
    </xf>
    <xf numFmtId="0" fontId="4" fillId="275" borderId="0" xfId="0" applyFont="1" applyFill="1" applyAlignment="1">
      <alignment horizontal="center"/>
    </xf>
    <xf numFmtId="2" fontId="4" fillId="276" borderId="0" xfId="0" applyNumberFormat="1" applyFont="1" applyFill="1" applyAlignment="1">
      <alignment horizontal="center"/>
    </xf>
    <xf numFmtId="0" fontId="4" fillId="277" borderId="0" xfId="0" applyFont="1" applyFill="1" applyAlignment="1">
      <alignment horizontal="center"/>
    </xf>
    <xf numFmtId="0" fontId="4" fillId="278" borderId="0" xfId="0" applyFont="1" applyFill="1" applyAlignment="1">
      <alignment horizontal="center"/>
    </xf>
    <xf numFmtId="0" fontId="4" fillId="279" borderId="0" xfId="0" applyFont="1" applyFill="1"/>
    <xf numFmtId="0" fontId="4" fillId="280" borderId="0" xfId="0" applyFont="1" applyFill="1" applyAlignment="1">
      <alignment horizontal="center"/>
    </xf>
    <xf numFmtId="0" fontId="4" fillId="281" borderId="0" xfId="0" applyFont="1" applyFill="1" applyAlignment="1">
      <alignment horizontal="center"/>
    </xf>
    <xf numFmtId="2" fontId="4" fillId="282" borderId="0" xfId="0" applyNumberFormat="1" applyFont="1" applyFill="1" applyAlignment="1">
      <alignment horizontal="center"/>
    </xf>
    <xf numFmtId="0" fontId="4" fillId="283" borderId="0" xfId="0" applyFont="1" applyFill="1" applyAlignment="1">
      <alignment horizontal="center"/>
    </xf>
    <xf numFmtId="0" fontId="4" fillId="284" borderId="0" xfId="0" applyFont="1" applyFill="1" applyAlignment="1">
      <alignment horizontal="center"/>
    </xf>
    <xf numFmtId="2" fontId="4" fillId="285" borderId="0" xfId="0" applyNumberFormat="1" applyFont="1" applyFill="1" applyAlignment="1">
      <alignment horizontal="center"/>
    </xf>
    <xf numFmtId="0" fontId="4" fillId="286" borderId="0" xfId="0" applyFont="1" applyFill="1" applyAlignment="1">
      <alignment horizontal="center"/>
    </xf>
    <xf numFmtId="0" fontId="4" fillId="287" borderId="0" xfId="0" applyFont="1" applyFill="1" applyAlignment="1">
      <alignment horizontal="center"/>
    </xf>
    <xf numFmtId="0" fontId="4" fillId="288" borderId="0" xfId="0" applyFont="1" applyFill="1"/>
    <xf numFmtId="0" fontId="4" fillId="289" borderId="0" xfId="0" applyFont="1" applyFill="1" applyAlignment="1">
      <alignment horizontal="center"/>
    </xf>
    <xf numFmtId="0" fontId="4" fillId="290" borderId="0" xfId="0" applyFont="1" applyFill="1" applyAlignment="1">
      <alignment horizontal="center"/>
    </xf>
    <xf numFmtId="2" fontId="4" fillId="291" borderId="0" xfId="0" applyNumberFormat="1" applyFont="1" applyFill="1" applyAlignment="1">
      <alignment horizontal="center"/>
    </xf>
    <xf numFmtId="0" fontId="4" fillId="292" borderId="0" xfId="0" applyFont="1" applyFill="1" applyAlignment="1">
      <alignment horizontal="center"/>
    </xf>
    <xf numFmtId="0" fontId="4" fillId="293" borderId="0" xfId="0" applyFont="1" applyFill="1" applyAlignment="1">
      <alignment horizontal="center"/>
    </xf>
    <xf numFmtId="2" fontId="4" fillId="294" borderId="0" xfId="0" applyNumberFormat="1" applyFont="1" applyFill="1" applyAlignment="1">
      <alignment horizontal="center"/>
    </xf>
    <xf numFmtId="0" fontId="4" fillId="295" borderId="0" xfId="0" applyFont="1" applyFill="1" applyAlignment="1">
      <alignment horizontal="center"/>
    </xf>
    <xf numFmtId="0" fontId="4" fillId="296" borderId="0" xfId="0" applyFont="1" applyFill="1" applyAlignment="1">
      <alignment horizontal="center"/>
    </xf>
    <xf numFmtId="0" fontId="4" fillId="297" borderId="0" xfId="0" applyFont="1" applyFill="1"/>
    <xf numFmtId="0" fontId="4" fillId="298" borderId="0" xfId="0" applyFont="1" applyFill="1" applyAlignment="1">
      <alignment horizontal="center"/>
    </xf>
    <xf numFmtId="0" fontId="4" fillId="299" borderId="0" xfId="0" applyFont="1" applyFill="1" applyAlignment="1">
      <alignment horizontal="center"/>
    </xf>
    <xf numFmtId="2" fontId="4" fillId="300" borderId="0" xfId="0" applyNumberFormat="1" applyFont="1" applyFill="1" applyAlignment="1">
      <alignment horizontal="center"/>
    </xf>
    <xf numFmtId="0" fontId="4" fillId="301" borderId="0" xfId="0" applyFont="1" applyFill="1" applyAlignment="1">
      <alignment horizontal="center"/>
    </xf>
    <xf numFmtId="0" fontId="4" fillId="302" borderId="0" xfId="0" applyFont="1" applyFill="1" applyAlignment="1">
      <alignment horizontal="center"/>
    </xf>
    <xf numFmtId="2" fontId="4" fillId="303" borderId="0" xfId="0" applyNumberFormat="1" applyFont="1" applyFill="1" applyAlignment="1">
      <alignment horizontal="center"/>
    </xf>
    <xf numFmtId="0" fontId="4" fillId="304" borderId="0" xfId="0" applyFont="1" applyFill="1" applyAlignment="1">
      <alignment horizontal="center"/>
    </xf>
    <xf numFmtId="0" fontId="4" fillId="305" borderId="0" xfId="0" applyFont="1" applyFill="1" applyAlignment="1">
      <alignment horizontal="center"/>
    </xf>
    <xf numFmtId="0" fontId="4" fillId="306" borderId="0" xfId="0" applyFont="1" applyFill="1"/>
    <xf numFmtId="0" fontId="4" fillId="307" borderId="0" xfId="0" applyFont="1" applyFill="1" applyAlignment="1">
      <alignment horizontal="center"/>
    </xf>
    <xf numFmtId="0" fontId="4" fillId="308" borderId="0" xfId="0" applyFont="1" applyFill="1" applyAlignment="1">
      <alignment horizontal="center"/>
    </xf>
    <xf numFmtId="2" fontId="4" fillId="309" borderId="0" xfId="0" applyNumberFormat="1" applyFont="1" applyFill="1" applyAlignment="1">
      <alignment horizontal="center"/>
    </xf>
    <xf numFmtId="0" fontId="4" fillId="310" borderId="0" xfId="0" applyFont="1" applyFill="1" applyAlignment="1">
      <alignment horizontal="center"/>
    </xf>
    <xf numFmtId="0" fontId="4" fillId="311" borderId="0" xfId="0" applyFont="1" applyFill="1" applyAlignment="1">
      <alignment horizontal="center"/>
    </xf>
    <xf numFmtId="2" fontId="4" fillId="312" borderId="0" xfId="0" applyNumberFormat="1" applyFont="1" applyFill="1" applyAlignment="1">
      <alignment horizontal="center"/>
    </xf>
    <xf numFmtId="0" fontId="4" fillId="313" borderId="0" xfId="0" applyFont="1" applyFill="1" applyAlignment="1">
      <alignment horizontal="center"/>
    </xf>
    <xf numFmtId="0" fontId="4" fillId="314" borderId="0" xfId="0" applyFont="1" applyFill="1" applyAlignment="1">
      <alignment horizontal="center"/>
    </xf>
    <xf numFmtId="0" fontId="4" fillId="315" borderId="0" xfId="0" applyFont="1" applyFill="1"/>
    <xf numFmtId="0" fontId="4" fillId="316" borderId="0" xfId="0" applyFont="1" applyFill="1" applyAlignment="1">
      <alignment horizontal="center"/>
    </xf>
    <xf numFmtId="0" fontId="4" fillId="317" borderId="0" xfId="0" applyFont="1" applyFill="1" applyAlignment="1">
      <alignment horizontal="center"/>
    </xf>
    <xf numFmtId="2" fontId="4" fillId="318" borderId="0" xfId="0" applyNumberFormat="1" applyFont="1" applyFill="1" applyAlignment="1">
      <alignment horizontal="center"/>
    </xf>
    <xf numFmtId="0" fontId="4" fillId="319" borderId="0" xfId="0" applyFont="1" applyFill="1" applyAlignment="1">
      <alignment horizontal="center"/>
    </xf>
    <xf numFmtId="0" fontId="4" fillId="320" borderId="0" xfId="0" applyFont="1" applyFill="1" applyAlignment="1">
      <alignment horizontal="center"/>
    </xf>
    <xf numFmtId="2" fontId="4" fillId="321" borderId="0" xfId="0" applyNumberFormat="1" applyFont="1" applyFill="1" applyAlignment="1">
      <alignment horizontal="center"/>
    </xf>
    <xf numFmtId="0" fontId="4" fillId="322" borderId="0" xfId="0" applyFont="1" applyFill="1" applyAlignment="1">
      <alignment horizontal="center"/>
    </xf>
    <xf numFmtId="0" fontId="4" fillId="323" borderId="0" xfId="0" applyFont="1" applyFill="1" applyAlignment="1">
      <alignment horizontal="center"/>
    </xf>
    <xf numFmtId="0" fontId="4" fillId="324" borderId="0" xfId="0" applyFont="1" applyFill="1"/>
    <xf numFmtId="0" fontId="4" fillId="325" borderId="0" xfId="0" applyFont="1" applyFill="1" applyAlignment="1">
      <alignment horizontal="center"/>
    </xf>
    <xf numFmtId="0" fontId="4" fillId="326" borderId="0" xfId="0" applyFont="1" applyFill="1" applyAlignment="1">
      <alignment horizontal="center"/>
    </xf>
    <xf numFmtId="2" fontId="4" fillId="327" borderId="0" xfId="0" applyNumberFormat="1" applyFont="1" applyFill="1" applyAlignment="1">
      <alignment horizontal="center"/>
    </xf>
    <xf numFmtId="0" fontId="4" fillId="328" borderId="0" xfId="0" applyFont="1" applyFill="1" applyAlignment="1">
      <alignment horizontal="center"/>
    </xf>
    <xf numFmtId="0" fontId="4" fillId="329" borderId="0" xfId="0" applyFont="1" applyFill="1" applyAlignment="1">
      <alignment horizontal="center"/>
    </xf>
    <xf numFmtId="2" fontId="4" fillId="330" borderId="0" xfId="0" applyNumberFormat="1" applyFont="1" applyFill="1" applyAlignment="1">
      <alignment horizontal="center"/>
    </xf>
    <xf numFmtId="0" fontId="4" fillId="21" borderId="0" xfId="0" applyFont="1" applyFill="1"/>
    <xf numFmtId="0" fontId="4" fillId="331" borderId="0" xfId="0" applyFont="1" applyFill="1"/>
    <xf numFmtId="0" fontId="4" fillId="332" borderId="0" xfId="0" applyFont="1" applyFill="1"/>
    <xf numFmtId="0" fontId="4" fillId="333" borderId="0" xfId="0" applyFont="1" applyFill="1"/>
    <xf numFmtId="0" fontId="4" fillId="334" borderId="0" xfId="0" applyFont="1" applyFill="1" applyAlignment="1">
      <alignment horizontal="center"/>
    </xf>
    <xf numFmtId="0" fontId="4" fillId="335" borderId="0" xfId="0" applyFont="1" applyFill="1" applyAlignment="1">
      <alignment horizontal="center"/>
    </xf>
    <xf numFmtId="2" fontId="4" fillId="336" borderId="0" xfId="0" applyNumberFormat="1" applyFont="1" applyFill="1" applyAlignment="1">
      <alignment horizontal="center"/>
    </xf>
    <xf numFmtId="0" fontId="4" fillId="337" borderId="0" xfId="0" applyFont="1" applyFill="1" applyAlignment="1">
      <alignment horizontal="center"/>
    </xf>
    <xf numFmtId="0" fontId="4" fillId="338" borderId="0" xfId="0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</cellXfs>
  <cellStyles count="1">
    <cellStyle name="Normal" xfId="0" builtinId="0"/>
  </cellStyles>
  <dxfs count="22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0066CC"/>
      <color rgb="FF0099CC"/>
      <color rgb="FFFFFFCC"/>
      <color rgb="FF00CC00"/>
      <color rgb="FF33CC33"/>
      <color rgb="FF0033CC"/>
      <color rgb="FFFF3300"/>
      <color rgb="FF33CCFF"/>
      <color rgb="FF0000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8"/>
  <sheetViews>
    <sheetView showGridLines="0" tabSelected="1" zoomScale="115" zoomScaleNormal="115" workbookViewId="0">
      <selection activeCell="P34" sqref="P34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1.140625" style="8" customWidth="1"/>
    <col min="14" max="14" width="14.85546875" style="1" bestFit="1" customWidth="1"/>
    <col min="15" max="15" width="11.42578125" style="1" bestFit="1" customWidth="1"/>
    <col min="16" max="16" width="14.85546875" style="1" bestFit="1" customWidth="1"/>
    <col min="17" max="17" width="2.85546875" style="1" customWidth="1"/>
    <col min="18" max="18" width="18" style="1" customWidth="1"/>
    <col min="19" max="19" width="16" style="1" customWidth="1"/>
    <col min="20" max="20" width="17.5703125" style="1" customWidth="1"/>
    <col min="21" max="21" width="15.5703125" style="1" customWidth="1"/>
    <col min="22" max="22" width="16.5703125" style="1" customWidth="1"/>
    <col min="23" max="24" width="9.140625" style="1" customWidth="1"/>
    <col min="25" max="25" width="16.42578125" style="1" bestFit="1" customWidth="1"/>
    <col min="26" max="16384" width="9.140625" style="1"/>
  </cols>
  <sheetData>
    <row r="1" spans="1:28" ht="15.75" x14ac:dyDescent="0.25">
      <c r="A1" s="38" t="s">
        <v>24</v>
      </c>
      <c r="B1" s="38" t="s">
        <v>27</v>
      </c>
      <c r="C1" s="38" t="s">
        <v>25</v>
      </c>
      <c r="D1" s="39" t="s">
        <v>0</v>
      </c>
      <c r="E1" s="39" t="s">
        <v>2</v>
      </c>
      <c r="F1" s="40" t="s">
        <v>1</v>
      </c>
      <c r="G1" s="39" t="s">
        <v>12</v>
      </c>
      <c r="H1" s="39" t="s">
        <v>3</v>
      </c>
      <c r="I1" s="39" t="s">
        <v>4</v>
      </c>
      <c r="J1" s="39" t="s">
        <v>5</v>
      </c>
      <c r="K1" s="14"/>
      <c r="L1" s="15"/>
      <c r="M1" s="15"/>
    </row>
    <row r="2" spans="1:28" ht="13.5" x14ac:dyDescent="0.25">
      <c r="A2" s="41">
        <v>1</v>
      </c>
      <c r="B2" s="42">
        <v>1</v>
      </c>
      <c r="C2" s="43">
        <f>B2-A2</f>
        <v>0</v>
      </c>
      <c r="D2" s="44" t="s">
        <v>48</v>
      </c>
      <c r="E2" s="45">
        <v>4</v>
      </c>
      <c r="F2" s="46">
        <v>780</v>
      </c>
      <c r="G2" s="47">
        <f>CEILING(F2/E2,1)</f>
        <v>195</v>
      </c>
      <c r="H2" s="48">
        <v>4</v>
      </c>
      <c r="I2" s="49">
        <v>0</v>
      </c>
      <c r="J2" s="50">
        <f>(H2/E2)*100</f>
        <v>100</v>
      </c>
      <c r="K2" s="16"/>
      <c r="L2" s="15">
        <v>44885</v>
      </c>
      <c r="M2" s="15"/>
      <c r="O2" s="4" t="s">
        <v>6</v>
      </c>
      <c r="P2" s="5" t="s">
        <v>7</v>
      </c>
      <c r="R2" s="1" t="s">
        <v>8</v>
      </c>
      <c r="S2" s="1" t="s">
        <v>9</v>
      </c>
      <c r="T2" s="1" t="s">
        <v>10</v>
      </c>
      <c r="U2" s="1" t="s">
        <v>11</v>
      </c>
      <c r="V2" s="1" t="s">
        <v>14</v>
      </c>
      <c r="W2" s="1" t="s">
        <v>14</v>
      </c>
    </row>
    <row r="3" spans="1:28" ht="13.5" x14ac:dyDescent="0.25">
      <c r="A3" s="51">
        <v>2</v>
      </c>
      <c r="B3" s="52">
        <v>2</v>
      </c>
      <c r="C3" s="43">
        <f t="shared" ref="C3:C35" si="0">B3-A3</f>
        <v>0</v>
      </c>
      <c r="D3" s="53" t="s">
        <v>55</v>
      </c>
      <c r="E3" s="54">
        <v>5</v>
      </c>
      <c r="F3" s="55">
        <v>882</v>
      </c>
      <c r="G3" s="56">
        <f>CEILING(F3/E3,1)</f>
        <v>177</v>
      </c>
      <c r="H3" s="57">
        <v>4</v>
      </c>
      <c r="I3" s="58">
        <v>1</v>
      </c>
      <c r="J3" s="59">
        <f>(H3/E3)*100</f>
        <v>80</v>
      </c>
      <c r="K3" s="16"/>
      <c r="L3" s="15">
        <v>45108</v>
      </c>
      <c r="M3" s="15"/>
      <c r="O3" s="1" t="s">
        <v>61</v>
      </c>
      <c r="P3" s="1" t="s">
        <v>28</v>
      </c>
      <c r="R3" s="1">
        <f>VLOOKUP(O3,$D$2:$G$49,3,FALSE)</f>
        <v>531</v>
      </c>
      <c r="S3" s="1">
        <f>VLOOKUP(P3,$D$2:$G$49,3,FALSE)</f>
        <v>1177</v>
      </c>
      <c r="T3" s="1">
        <f>VLOOKUP(O3,$D$2:$G$49,4,FALSE)</f>
        <v>133</v>
      </c>
      <c r="U3" s="1">
        <f>VLOOKUP(P3,$D$2:$G$49,4,FALSE)</f>
        <v>107</v>
      </c>
      <c r="V3" s="1">
        <f>IF(T3&gt;U3,T3-U3,U3-T3)</f>
        <v>26</v>
      </c>
      <c r="W3" s="1">
        <f>T3-U3</f>
        <v>26</v>
      </c>
      <c r="Y3" s="1" t="s">
        <v>15</v>
      </c>
    </row>
    <row r="4" spans="1:28" ht="13.5" x14ac:dyDescent="0.25">
      <c r="A4" s="60">
        <v>3</v>
      </c>
      <c r="B4" s="61">
        <v>3</v>
      </c>
      <c r="C4" s="43">
        <f t="shared" si="0"/>
        <v>0</v>
      </c>
      <c r="D4" s="62" t="s">
        <v>32</v>
      </c>
      <c r="E4" s="63">
        <v>7</v>
      </c>
      <c r="F4" s="64">
        <v>1187</v>
      </c>
      <c r="G4" s="65">
        <f>CEILING(F4/E4,1)</f>
        <v>170</v>
      </c>
      <c r="H4" s="66">
        <v>5</v>
      </c>
      <c r="I4" s="67">
        <v>2</v>
      </c>
      <c r="J4" s="68">
        <f>(H4/E4)*100</f>
        <v>71.428571428571431</v>
      </c>
      <c r="K4" s="16"/>
      <c r="L4" s="15">
        <v>44877</v>
      </c>
      <c r="M4" s="15"/>
      <c r="N4" s="1" t="s">
        <v>13</v>
      </c>
      <c r="O4" s="4">
        <f>IF($V$3&lt;40,$U$3+50,IF($W$3&gt;0,$T$3+10,$T$3+90))</f>
        <v>157</v>
      </c>
      <c r="P4" s="4">
        <f>IF($V$3&lt;40,$T$3-50,IF($W$3&gt;0,$U$3-10,$U$3-90))</f>
        <v>83</v>
      </c>
      <c r="Y4" s="6" t="s">
        <v>26</v>
      </c>
      <c r="Z4" s="1" t="s">
        <v>19</v>
      </c>
      <c r="AA4" s="1" t="s">
        <v>20</v>
      </c>
      <c r="AB4" s="1" t="s">
        <v>21</v>
      </c>
    </row>
    <row r="5" spans="1:28" ht="13.5" x14ac:dyDescent="0.25">
      <c r="A5" s="69">
        <v>4</v>
      </c>
      <c r="B5" s="70">
        <v>4</v>
      </c>
      <c r="C5" s="43">
        <f t="shared" si="0"/>
        <v>0</v>
      </c>
      <c r="D5" s="71" t="s">
        <v>57</v>
      </c>
      <c r="E5" s="72">
        <v>7</v>
      </c>
      <c r="F5" s="73">
        <v>1014</v>
      </c>
      <c r="G5" s="74">
        <f>CEILING(F5/E5,1)</f>
        <v>145</v>
      </c>
      <c r="H5" s="75">
        <v>6</v>
      </c>
      <c r="I5" s="76">
        <v>1</v>
      </c>
      <c r="J5" s="77">
        <f>(H5/E5)*100</f>
        <v>85.714285714285708</v>
      </c>
      <c r="K5" s="16"/>
      <c r="L5" s="15">
        <v>45032</v>
      </c>
      <c r="M5" s="15"/>
    </row>
    <row r="6" spans="1:28" ht="13.5" x14ac:dyDescent="0.25">
      <c r="A6" s="78">
        <v>5</v>
      </c>
      <c r="B6" s="79">
        <v>5</v>
      </c>
      <c r="C6" s="43">
        <f t="shared" si="0"/>
        <v>0</v>
      </c>
      <c r="D6" s="80" t="s">
        <v>43</v>
      </c>
      <c r="E6" s="81">
        <v>5</v>
      </c>
      <c r="F6" s="82">
        <v>715</v>
      </c>
      <c r="G6" s="83">
        <f>CEILING(F6/E6,1)</f>
        <v>143</v>
      </c>
      <c r="H6" s="84">
        <v>4</v>
      </c>
      <c r="I6" s="85">
        <v>1</v>
      </c>
      <c r="J6" s="86">
        <f>(H6/E6)*100</f>
        <v>80</v>
      </c>
      <c r="K6" s="16"/>
      <c r="L6" s="15">
        <v>45150.965655439817</v>
      </c>
      <c r="M6" s="15"/>
    </row>
    <row r="7" spans="1:28" ht="13.5" x14ac:dyDescent="0.25">
      <c r="A7" s="87">
        <v>6</v>
      </c>
      <c r="B7" s="88">
        <v>6</v>
      </c>
      <c r="C7" s="43">
        <f t="shared" si="0"/>
        <v>0</v>
      </c>
      <c r="D7" s="89" t="s">
        <v>38</v>
      </c>
      <c r="E7" s="90">
        <v>2</v>
      </c>
      <c r="F7" s="91">
        <v>273</v>
      </c>
      <c r="G7" s="92">
        <f>CEILING(F7/E7,1)</f>
        <v>137</v>
      </c>
      <c r="H7" s="93">
        <v>1</v>
      </c>
      <c r="I7" s="94">
        <v>1</v>
      </c>
      <c r="J7" s="95">
        <f>(H7/E7)*100</f>
        <v>50</v>
      </c>
      <c r="K7" s="16"/>
      <c r="L7" s="15">
        <v>45024</v>
      </c>
      <c r="M7" s="15"/>
    </row>
    <row r="8" spans="1:28" ht="13.5" x14ac:dyDescent="0.25">
      <c r="A8" s="96">
        <v>7</v>
      </c>
      <c r="B8" s="97">
        <v>10</v>
      </c>
      <c r="C8" s="43">
        <f t="shared" si="0"/>
        <v>3</v>
      </c>
      <c r="D8" s="98" t="s">
        <v>61</v>
      </c>
      <c r="E8" s="99">
        <v>4</v>
      </c>
      <c r="F8" s="100">
        <v>531</v>
      </c>
      <c r="G8" s="101">
        <f>CEILING(F8/E8,1)</f>
        <v>133</v>
      </c>
      <c r="H8" s="102">
        <v>2</v>
      </c>
      <c r="I8" s="103">
        <v>2</v>
      </c>
      <c r="J8" s="104">
        <f>(H8/E8)*100</f>
        <v>50</v>
      </c>
      <c r="K8" s="16"/>
      <c r="L8" s="15">
        <v>45157.745327893521</v>
      </c>
      <c r="M8" s="15"/>
    </row>
    <row r="9" spans="1:28" ht="13.5" x14ac:dyDescent="0.25">
      <c r="A9" s="105">
        <v>8</v>
      </c>
      <c r="B9" s="106">
        <v>7</v>
      </c>
      <c r="C9" s="43">
        <f t="shared" si="0"/>
        <v>-1</v>
      </c>
      <c r="D9" s="107" t="s">
        <v>59</v>
      </c>
      <c r="E9" s="108">
        <v>8</v>
      </c>
      <c r="F9" s="109">
        <v>1032</v>
      </c>
      <c r="G9" s="110">
        <f>CEILING(F9/E9,1)</f>
        <v>129</v>
      </c>
      <c r="H9" s="111">
        <v>6</v>
      </c>
      <c r="I9" s="112">
        <v>2</v>
      </c>
      <c r="J9" s="113">
        <f>(H9/E9)*100</f>
        <v>75</v>
      </c>
      <c r="K9" s="16"/>
      <c r="L9" s="15">
        <v>45136.552691435187</v>
      </c>
      <c r="M9" s="15"/>
    </row>
    <row r="10" spans="1:28" ht="13.5" x14ac:dyDescent="0.25">
      <c r="A10" s="114">
        <v>9</v>
      </c>
      <c r="B10" s="115">
        <v>8</v>
      </c>
      <c r="C10" s="43">
        <f t="shared" si="0"/>
        <v>-1</v>
      </c>
      <c r="D10" s="116" t="s">
        <v>49</v>
      </c>
      <c r="E10" s="117">
        <v>2</v>
      </c>
      <c r="F10" s="118">
        <v>250</v>
      </c>
      <c r="G10" s="119">
        <f>CEILING(F10/E10,1)</f>
        <v>125</v>
      </c>
      <c r="H10" s="120">
        <v>1</v>
      </c>
      <c r="I10" s="121">
        <v>1</v>
      </c>
      <c r="J10" s="122">
        <f>(H10/E10)*100</f>
        <v>50</v>
      </c>
      <c r="K10" s="16"/>
      <c r="L10" s="15">
        <v>44859</v>
      </c>
      <c r="M10" s="15"/>
      <c r="R10" s="1" t="s">
        <v>31</v>
      </c>
    </row>
    <row r="11" spans="1:28" ht="13.5" x14ac:dyDescent="0.25">
      <c r="A11" s="123">
        <v>10</v>
      </c>
      <c r="B11" s="124">
        <v>9</v>
      </c>
      <c r="C11" s="43">
        <f t="shared" si="0"/>
        <v>-1</v>
      </c>
      <c r="D11" s="125" t="s">
        <v>45</v>
      </c>
      <c r="E11" s="126">
        <v>2</v>
      </c>
      <c r="F11" s="127">
        <v>250</v>
      </c>
      <c r="G11" s="128">
        <f>CEILING(F11/E11,1)</f>
        <v>125</v>
      </c>
      <c r="H11" s="129">
        <v>1</v>
      </c>
      <c r="I11" s="130">
        <v>1</v>
      </c>
      <c r="J11" s="131">
        <f>(H11/E11)*100</f>
        <v>50</v>
      </c>
      <c r="K11" s="16"/>
      <c r="L11" s="15">
        <v>44871</v>
      </c>
      <c r="M11" s="15"/>
    </row>
    <row r="12" spans="1:28" ht="13.5" x14ac:dyDescent="0.25">
      <c r="A12" s="132">
        <v>11</v>
      </c>
      <c r="B12" s="133">
        <v>11</v>
      </c>
      <c r="C12" s="43">
        <f t="shared" si="0"/>
        <v>0</v>
      </c>
      <c r="D12" s="134" t="s">
        <v>51</v>
      </c>
      <c r="E12" s="135">
        <v>14</v>
      </c>
      <c r="F12" s="136">
        <v>1555</v>
      </c>
      <c r="G12" s="137">
        <f>CEILING(F12/E12,1)</f>
        <v>112</v>
      </c>
      <c r="H12" s="138">
        <v>6</v>
      </c>
      <c r="I12" s="139">
        <v>8</v>
      </c>
      <c r="J12" s="140">
        <f>(H12/E12)*100</f>
        <v>42.857142857142854</v>
      </c>
      <c r="K12" s="16"/>
      <c r="L12" s="15">
        <v>45147.51682060185</v>
      </c>
      <c r="M12" s="15"/>
    </row>
    <row r="13" spans="1:28" ht="13.5" x14ac:dyDescent="0.25">
      <c r="A13" s="141">
        <v>12</v>
      </c>
      <c r="B13" s="142">
        <v>12</v>
      </c>
      <c r="C13" s="43">
        <f t="shared" si="0"/>
        <v>0</v>
      </c>
      <c r="D13" s="143" t="s">
        <v>28</v>
      </c>
      <c r="E13" s="144">
        <v>11</v>
      </c>
      <c r="F13" s="145">
        <v>1177</v>
      </c>
      <c r="G13" s="146">
        <f>CEILING(F13/E13,1)</f>
        <v>107</v>
      </c>
      <c r="H13" s="147">
        <v>4</v>
      </c>
      <c r="I13" s="148">
        <v>7</v>
      </c>
      <c r="J13" s="149">
        <f>(H13/E13)*100</f>
        <v>36.363636363636367</v>
      </c>
      <c r="K13" s="16"/>
      <c r="L13" s="15">
        <v>45144.807287847223</v>
      </c>
      <c r="M13" s="15"/>
      <c r="N13" s="1" t="s">
        <v>13</v>
      </c>
      <c r="O13" s="4">
        <v>161</v>
      </c>
      <c r="P13" s="4">
        <v>74</v>
      </c>
      <c r="Y13" s="1">
        <v>85</v>
      </c>
      <c r="Z13" s="1">
        <v>-5</v>
      </c>
    </row>
    <row r="14" spans="1:28" ht="13.5" x14ac:dyDescent="0.25">
      <c r="A14" s="150">
        <v>13</v>
      </c>
      <c r="B14" s="151">
        <v>13</v>
      </c>
      <c r="C14" s="43">
        <f t="shared" si="0"/>
        <v>0</v>
      </c>
      <c r="D14" s="152" t="s">
        <v>35</v>
      </c>
      <c r="E14" s="153">
        <v>15</v>
      </c>
      <c r="F14" s="154">
        <v>1592</v>
      </c>
      <c r="G14" s="155">
        <f>CEILING(F14/E14,1)</f>
        <v>107</v>
      </c>
      <c r="H14" s="156">
        <v>8</v>
      </c>
      <c r="I14" s="157">
        <v>7</v>
      </c>
      <c r="J14" s="158">
        <f>(H14/E14)*100</f>
        <v>53.333333333333336</v>
      </c>
      <c r="K14" s="16"/>
      <c r="L14" s="15">
        <v>45018</v>
      </c>
      <c r="M14" s="15"/>
      <c r="N14" s="1" t="s">
        <v>22</v>
      </c>
      <c r="O14" s="2">
        <v>370</v>
      </c>
      <c r="P14" s="2">
        <v>1103</v>
      </c>
    </row>
    <row r="15" spans="1:28" ht="13.5" x14ac:dyDescent="0.25">
      <c r="A15" s="159">
        <v>14</v>
      </c>
      <c r="B15" s="160">
        <v>14</v>
      </c>
      <c r="C15" s="43">
        <f t="shared" si="0"/>
        <v>0</v>
      </c>
      <c r="D15" s="161" t="s">
        <v>56</v>
      </c>
      <c r="E15" s="162">
        <v>9</v>
      </c>
      <c r="F15" s="163">
        <v>947</v>
      </c>
      <c r="G15" s="164">
        <f>CEILING(F15/E15,1)</f>
        <v>106</v>
      </c>
      <c r="H15" s="165">
        <v>4</v>
      </c>
      <c r="I15" s="166">
        <v>4</v>
      </c>
      <c r="J15" s="167">
        <f>(H15/E15)*100</f>
        <v>44.444444444444443</v>
      </c>
      <c r="K15" s="16"/>
      <c r="L15" s="15">
        <v>45124.378568287037</v>
      </c>
      <c r="M15" s="15"/>
      <c r="N15" s="1" t="s">
        <v>23</v>
      </c>
      <c r="O15" s="37">
        <f>SUM(O13:O14)</f>
        <v>531</v>
      </c>
      <c r="P15" s="36">
        <f>SUM(P13:P14)</f>
        <v>1177</v>
      </c>
    </row>
    <row r="16" spans="1:28" ht="13.5" x14ac:dyDescent="0.25">
      <c r="A16" s="168">
        <v>15</v>
      </c>
      <c r="B16" s="169">
        <v>15</v>
      </c>
      <c r="C16" s="43">
        <f t="shared" si="0"/>
        <v>0</v>
      </c>
      <c r="D16" s="170" t="s">
        <v>42</v>
      </c>
      <c r="E16" s="171">
        <v>14</v>
      </c>
      <c r="F16" s="172">
        <v>1450</v>
      </c>
      <c r="G16" s="173">
        <f>CEILING(F16/E16,1)</f>
        <v>104</v>
      </c>
      <c r="H16" s="174">
        <v>8</v>
      </c>
      <c r="I16" s="175">
        <v>6</v>
      </c>
      <c r="J16" s="176">
        <f>(H16/E16)*100</f>
        <v>57.142857142857139</v>
      </c>
      <c r="K16" s="16"/>
      <c r="L16" s="15">
        <v>44821</v>
      </c>
      <c r="M16" s="15"/>
      <c r="O16" s="7"/>
      <c r="Z16" s="1" t="s">
        <v>18</v>
      </c>
      <c r="AA16" s="1" t="s">
        <v>16</v>
      </c>
    </row>
    <row r="17" spans="1:27" ht="13.5" x14ac:dyDescent="0.25">
      <c r="A17" s="177">
        <v>16</v>
      </c>
      <c r="B17" s="178">
        <v>16</v>
      </c>
      <c r="C17" s="43">
        <f t="shared" si="0"/>
        <v>0</v>
      </c>
      <c r="D17" s="179" t="s">
        <v>29</v>
      </c>
      <c r="E17" s="180">
        <v>12</v>
      </c>
      <c r="F17" s="181">
        <v>1215</v>
      </c>
      <c r="G17" s="182">
        <f>CEILING(F17/E17,1)</f>
        <v>102</v>
      </c>
      <c r="H17" s="183">
        <v>7</v>
      </c>
      <c r="I17" s="184">
        <v>5</v>
      </c>
      <c r="J17" s="185">
        <f>(H17/E17)*100</f>
        <v>58.333333333333336</v>
      </c>
      <c r="K17" s="16"/>
      <c r="L17" s="15">
        <v>44814</v>
      </c>
      <c r="M17" s="15"/>
      <c r="Z17" s="1" t="s">
        <v>18</v>
      </c>
      <c r="AA17" s="1" t="s">
        <v>17</v>
      </c>
    </row>
    <row r="18" spans="1:27" ht="13.5" x14ac:dyDescent="0.25">
      <c r="A18" s="186">
        <v>17</v>
      </c>
      <c r="B18" s="187">
        <v>17</v>
      </c>
      <c r="C18" s="43">
        <f t="shared" si="0"/>
        <v>0</v>
      </c>
      <c r="D18" s="188" t="s">
        <v>60</v>
      </c>
      <c r="E18" s="189">
        <v>5</v>
      </c>
      <c r="F18" s="190">
        <v>503</v>
      </c>
      <c r="G18" s="191">
        <f>CEILING(F18/E18,1)</f>
        <v>101</v>
      </c>
      <c r="H18" s="192">
        <v>2</v>
      </c>
      <c r="I18" s="193">
        <v>3</v>
      </c>
      <c r="J18" s="194">
        <f>(H18/E18)*100</f>
        <v>40</v>
      </c>
      <c r="K18" s="16"/>
      <c r="L18" s="15">
        <v>45080</v>
      </c>
      <c r="M18" s="15"/>
      <c r="Z18" s="1" t="s">
        <v>16</v>
      </c>
      <c r="AA18" s="1" t="s">
        <v>17</v>
      </c>
    </row>
    <row r="19" spans="1:27" ht="13.5" x14ac:dyDescent="0.25">
      <c r="A19" s="195">
        <v>18</v>
      </c>
      <c r="B19" s="196">
        <v>18</v>
      </c>
      <c r="C19" s="43">
        <f t="shared" si="0"/>
        <v>0</v>
      </c>
      <c r="D19" s="197" t="s">
        <v>39</v>
      </c>
      <c r="E19" s="198">
        <v>12</v>
      </c>
      <c r="F19" s="199">
        <v>1212</v>
      </c>
      <c r="G19" s="200">
        <f>CEILING(F19/E19,1)</f>
        <v>101</v>
      </c>
      <c r="H19" s="201">
        <v>6</v>
      </c>
      <c r="I19" s="202">
        <v>6</v>
      </c>
      <c r="J19" s="203">
        <f>(H19/E19)*100</f>
        <v>50</v>
      </c>
      <c r="K19" s="16"/>
      <c r="L19" s="15">
        <v>45136.552764120373</v>
      </c>
      <c r="M19" s="15"/>
      <c r="O19" s="3"/>
    </row>
    <row r="20" spans="1:27" ht="13.5" x14ac:dyDescent="0.25">
      <c r="A20" s="204">
        <v>19</v>
      </c>
      <c r="B20" s="205">
        <v>19</v>
      </c>
      <c r="C20" s="43">
        <f t="shared" si="0"/>
        <v>0</v>
      </c>
      <c r="D20" s="206" t="s">
        <v>36</v>
      </c>
      <c r="E20" s="207">
        <v>15</v>
      </c>
      <c r="F20" s="208">
        <v>1492</v>
      </c>
      <c r="G20" s="209">
        <f>CEILING(F20/E20,1)</f>
        <v>100</v>
      </c>
      <c r="H20" s="210">
        <v>6</v>
      </c>
      <c r="I20" s="211">
        <v>9</v>
      </c>
      <c r="J20" s="212">
        <f>(H20/E20)*100</f>
        <v>40</v>
      </c>
      <c r="K20" s="16"/>
      <c r="L20" s="15">
        <v>44807</v>
      </c>
      <c r="M20" s="15"/>
    </row>
    <row r="21" spans="1:27" ht="13.5" x14ac:dyDescent="0.25">
      <c r="A21" s="213">
        <v>20</v>
      </c>
      <c r="B21" s="214">
        <v>20</v>
      </c>
      <c r="C21" s="43">
        <f t="shared" si="0"/>
        <v>0</v>
      </c>
      <c r="D21" s="215" t="s">
        <v>37</v>
      </c>
      <c r="E21" s="216">
        <v>6</v>
      </c>
      <c r="F21" s="217">
        <v>579</v>
      </c>
      <c r="G21" s="218">
        <f>CEILING(F21/E21,1)</f>
        <v>97</v>
      </c>
      <c r="H21" s="219">
        <v>2</v>
      </c>
      <c r="I21" s="220">
        <v>4</v>
      </c>
      <c r="J21" s="221">
        <f>(H21/E21)*100</f>
        <v>33.333333333333329</v>
      </c>
      <c r="K21" s="16"/>
      <c r="L21" s="15">
        <v>45038</v>
      </c>
      <c r="M21" s="15"/>
      <c r="O21" s="9" t="s">
        <v>30</v>
      </c>
      <c r="P21" s="8">
        <f ca="1">NOW()</f>
        <v>45157.748229050929</v>
      </c>
    </row>
    <row r="22" spans="1:27" ht="13.5" x14ac:dyDescent="0.25">
      <c r="A22" s="222">
        <v>21</v>
      </c>
      <c r="B22" s="223">
        <v>21</v>
      </c>
      <c r="C22" s="43">
        <f t="shared" si="0"/>
        <v>0</v>
      </c>
      <c r="D22" s="224" t="s">
        <v>54</v>
      </c>
      <c r="E22" s="225">
        <v>4</v>
      </c>
      <c r="F22" s="226">
        <v>374</v>
      </c>
      <c r="G22" s="227">
        <f>CEILING(F22/E22,1)</f>
        <v>94</v>
      </c>
      <c r="H22" s="228">
        <v>2</v>
      </c>
      <c r="I22" s="229">
        <v>2</v>
      </c>
      <c r="J22" s="230">
        <f>(H22/E22)*100</f>
        <v>50</v>
      </c>
      <c r="K22" s="16"/>
      <c r="L22" s="15">
        <v>45157.74540983796</v>
      </c>
      <c r="M22" s="15"/>
    </row>
    <row r="23" spans="1:27" ht="13.5" x14ac:dyDescent="0.25">
      <c r="A23" s="231">
        <v>22</v>
      </c>
      <c r="B23" s="232">
        <v>22</v>
      </c>
      <c r="C23" s="43">
        <f t="shared" si="0"/>
        <v>0</v>
      </c>
      <c r="D23" s="233" t="s">
        <v>46</v>
      </c>
      <c r="E23" s="234">
        <v>5</v>
      </c>
      <c r="F23" s="235">
        <v>468</v>
      </c>
      <c r="G23" s="236">
        <f>CEILING(F23/E23,1)</f>
        <v>94</v>
      </c>
      <c r="H23" s="237">
        <v>2</v>
      </c>
      <c r="I23" s="238">
        <v>3</v>
      </c>
      <c r="J23" s="239">
        <f>(H23/E23)*100</f>
        <v>40</v>
      </c>
      <c r="K23" s="16"/>
      <c r="L23" s="15">
        <v>45151.578629166666</v>
      </c>
      <c r="M23" s="15"/>
    </row>
    <row r="24" spans="1:27" ht="13.5" x14ac:dyDescent="0.25">
      <c r="A24" s="240">
        <v>23</v>
      </c>
      <c r="B24" s="241">
        <v>23</v>
      </c>
      <c r="C24" s="43">
        <f t="shared" si="0"/>
        <v>0</v>
      </c>
      <c r="D24" s="242" t="s">
        <v>33</v>
      </c>
      <c r="E24" s="243">
        <v>4</v>
      </c>
      <c r="F24" s="244">
        <v>328</v>
      </c>
      <c r="G24" s="245">
        <f>CEILING(F24/E24,1)</f>
        <v>82</v>
      </c>
      <c r="H24" s="246">
        <v>2</v>
      </c>
      <c r="I24" s="247">
        <v>2</v>
      </c>
      <c r="J24" s="248">
        <f>(H24/E24)*100</f>
        <v>50</v>
      </c>
      <c r="K24" s="16"/>
      <c r="L24" s="15">
        <v>44807</v>
      </c>
      <c r="M24" s="15"/>
    </row>
    <row r="25" spans="1:27" ht="13.5" x14ac:dyDescent="0.25">
      <c r="A25" s="249">
        <v>24</v>
      </c>
      <c r="B25" s="250">
        <v>24</v>
      </c>
      <c r="C25" s="43">
        <f t="shared" si="0"/>
        <v>0</v>
      </c>
      <c r="D25" s="251" t="s">
        <v>47</v>
      </c>
      <c r="E25" s="252">
        <v>8</v>
      </c>
      <c r="F25" s="253">
        <v>641</v>
      </c>
      <c r="G25" s="254">
        <f>CEILING(F25/E25,1)</f>
        <v>81</v>
      </c>
      <c r="H25" s="255">
        <v>4</v>
      </c>
      <c r="I25" s="256">
        <v>4</v>
      </c>
      <c r="J25" s="257">
        <f>(H25/E25)*100</f>
        <v>50</v>
      </c>
      <c r="K25" s="16"/>
      <c r="L25" s="15">
        <v>45080</v>
      </c>
      <c r="M25" s="15"/>
    </row>
    <row r="26" spans="1:27" ht="13.5" x14ac:dyDescent="0.25">
      <c r="A26" s="258">
        <v>25</v>
      </c>
      <c r="B26" s="259">
        <v>25</v>
      </c>
      <c r="C26" s="43">
        <f t="shared" si="0"/>
        <v>0</v>
      </c>
      <c r="D26" s="260" t="s">
        <v>58</v>
      </c>
      <c r="E26" s="261">
        <v>4</v>
      </c>
      <c r="F26" s="262">
        <v>278</v>
      </c>
      <c r="G26" s="263">
        <f>CEILING(F26/E26,1)</f>
        <v>70</v>
      </c>
      <c r="H26" s="264">
        <v>1</v>
      </c>
      <c r="I26" s="265">
        <v>3</v>
      </c>
      <c r="J26" s="266">
        <f>(H26/E26)*100</f>
        <v>25</v>
      </c>
      <c r="K26" s="16"/>
      <c r="L26" s="15">
        <v>44941</v>
      </c>
      <c r="M26" s="15"/>
    </row>
    <row r="27" spans="1:27" ht="13.5" x14ac:dyDescent="0.25">
      <c r="A27" s="267">
        <v>26</v>
      </c>
      <c r="B27" s="268">
        <v>26</v>
      </c>
      <c r="C27" s="43">
        <f t="shared" si="0"/>
        <v>0</v>
      </c>
      <c r="D27" s="269" t="s">
        <v>40</v>
      </c>
      <c r="E27" s="270">
        <v>5</v>
      </c>
      <c r="F27" s="271">
        <v>303</v>
      </c>
      <c r="G27" s="272">
        <f>CEILING(F27/E27,1)</f>
        <v>61</v>
      </c>
      <c r="H27" s="273">
        <v>1</v>
      </c>
      <c r="I27" s="274">
        <v>4</v>
      </c>
      <c r="J27" s="275">
        <f>(H27/E27)*100</f>
        <v>20</v>
      </c>
      <c r="K27" s="16"/>
      <c r="L27" s="15">
        <v>45059</v>
      </c>
      <c r="M27" s="15"/>
    </row>
    <row r="28" spans="1:27" ht="13.5" x14ac:dyDescent="0.25">
      <c r="A28" s="276">
        <v>27</v>
      </c>
      <c r="B28" s="277">
        <v>27</v>
      </c>
      <c r="C28" s="43">
        <f t="shared" si="0"/>
        <v>0</v>
      </c>
      <c r="D28" s="278" t="s">
        <v>53</v>
      </c>
      <c r="E28" s="279">
        <v>9</v>
      </c>
      <c r="F28" s="280">
        <v>538</v>
      </c>
      <c r="G28" s="281">
        <f>CEILING(F28/E28,1)</f>
        <v>60</v>
      </c>
      <c r="H28" s="282">
        <v>3</v>
      </c>
      <c r="I28" s="283">
        <v>6</v>
      </c>
      <c r="J28" s="284">
        <f>(H28/E28)*100</f>
        <v>33.333333333333329</v>
      </c>
      <c r="K28" s="16"/>
      <c r="L28" s="15">
        <v>45073</v>
      </c>
      <c r="M28" s="15"/>
    </row>
    <row r="29" spans="1:27" ht="13.5" x14ac:dyDescent="0.25">
      <c r="A29" s="285">
        <v>28</v>
      </c>
      <c r="B29" s="286">
        <v>28</v>
      </c>
      <c r="C29" s="43">
        <f t="shared" si="0"/>
        <v>0</v>
      </c>
      <c r="D29" s="287" t="s">
        <v>41</v>
      </c>
      <c r="E29" s="288">
        <v>1</v>
      </c>
      <c r="F29" s="289">
        <v>50</v>
      </c>
      <c r="G29" s="290">
        <f>CEILING(F29/E29,1)</f>
        <v>50</v>
      </c>
      <c r="H29" s="291">
        <v>0</v>
      </c>
      <c r="I29" s="292">
        <v>1</v>
      </c>
      <c r="J29" s="293">
        <f>(H29/E29)*100</f>
        <v>0</v>
      </c>
      <c r="K29" s="16"/>
      <c r="L29" s="15">
        <v>44835</v>
      </c>
      <c r="M29" s="15"/>
    </row>
    <row r="30" spans="1:27" ht="13.5" x14ac:dyDescent="0.25">
      <c r="A30" s="294">
        <v>29</v>
      </c>
      <c r="B30" s="295">
        <v>29</v>
      </c>
      <c r="C30" s="43">
        <f t="shared" si="0"/>
        <v>0</v>
      </c>
      <c r="D30" s="296" t="s">
        <v>44</v>
      </c>
      <c r="E30" s="297">
        <v>1</v>
      </c>
      <c r="F30" s="298">
        <v>50</v>
      </c>
      <c r="G30" s="299">
        <f>CEILING(F30/E30,1)</f>
        <v>50</v>
      </c>
      <c r="H30" s="300">
        <v>0</v>
      </c>
      <c r="I30" s="301">
        <v>1</v>
      </c>
      <c r="J30" s="302">
        <f>(H30/E30)*100</f>
        <v>0</v>
      </c>
      <c r="K30" s="16"/>
      <c r="L30" s="15">
        <v>44836</v>
      </c>
      <c r="M30" s="15"/>
    </row>
    <row r="31" spans="1:27" ht="13.5" x14ac:dyDescent="0.25">
      <c r="A31" s="303">
        <v>30</v>
      </c>
      <c r="B31" s="304">
        <v>30</v>
      </c>
      <c r="C31" s="43">
        <f t="shared" si="0"/>
        <v>0</v>
      </c>
      <c r="D31" s="305" t="s">
        <v>50</v>
      </c>
      <c r="E31" s="306">
        <v>1</v>
      </c>
      <c r="F31" s="307">
        <v>50</v>
      </c>
      <c r="G31" s="308">
        <f>CEILING(F31/E31,1)</f>
        <v>50</v>
      </c>
      <c r="H31" s="309">
        <v>0</v>
      </c>
      <c r="I31" s="310">
        <v>1</v>
      </c>
      <c r="J31" s="311">
        <f>(H31/E31)*100</f>
        <v>0</v>
      </c>
      <c r="K31" s="16"/>
      <c r="L31" s="15">
        <v>44843</v>
      </c>
      <c r="M31" s="15"/>
    </row>
    <row r="32" spans="1:27" ht="13.5" x14ac:dyDescent="0.25">
      <c r="A32" s="312">
        <v>31</v>
      </c>
      <c r="B32" s="313">
        <v>31</v>
      </c>
      <c r="C32" s="43">
        <f t="shared" si="0"/>
        <v>0</v>
      </c>
      <c r="D32" s="314" t="s">
        <v>52</v>
      </c>
      <c r="E32" s="315">
        <v>1</v>
      </c>
      <c r="F32" s="316">
        <v>50</v>
      </c>
      <c r="G32" s="317">
        <f>CEILING(F32/E32,1)</f>
        <v>50</v>
      </c>
      <c r="H32" s="318">
        <v>0</v>
      </c>
      <c r="I32" s="319">
        <v>1</v>
      </c>
      <c r="J32" s="320">
        <f>(H32/E32)*100</f>
        <v>0</v>
      </c>
      <c r="K32" s="13"/>
      <c r="L32" s="15">
        <v>44849</v>
      </c>
      <c r="M32" s="15"/>
    </row>
    <row r="33" spans="1:13" ht="13.5" x14ac:dyDescent="0.25">
      <c r="A33" s="321">
        <v>32</v>
      </c>
      <c r="B33" s="322">
        <v>32</v>
      </c>
      <c r="C33" s="43">
        <f t="shared" si="0"/>
        <v>0</v>
      </c>
      <c r="D33" s="323" t="s">
        <v>34</v>
      </c>
      <c r="E33" s="324">
        <v>3</v>
      </c>
      <c r="F33" s="325">
        <v>85</v>
      </c>
      <c r="G33" s="326">
        <f>CEILING(F33/E33,1)</f>
        <v>29</v>
      </c>
      <c r="H33" s="327">
        <v>0</v>
      </c>
      <c r="I33" s="328">
        <v>3</v>
      </c>
      <c r="J33" s="329">
        <f>(H33/E33)*100</f>
        <v>0</v>
      </c>
      <c r="K33" s="16"/>
      <c r="L33" s="15">
        <v>44723</v>
      </c>
      <c r="M33" s="15"/>
    </row>
    <row r="34" spans="1:13" ht="13.5" x14ac:dyDescent="0.25">
      <c r="A34" s="330">
        <v>33</v>
      </c>
      <c r="B34" s="331">
        <v>33</v>
      </c>
      <c r="C34" s="43">
        <f t="shared" si="0"/>
        <v>0</v>
      </c>
      <c r="D34" s="332"/>
      <c r="E34" s="333"/>
      <c r="F34" s="334"/>
      <c r="G34" s="335"/>
      <c r="H34" s="336"/>
      <c r="I34" s="337"/>
      <c r="J34" s="338"/>
      <c r="K34" s="16"/>
      <c r="L34" s="15"/>
      <c r="M34" s="15"/>
    </row>
    <row r="35" spans="1:13" ht="13.5" x14ac:dyDescent="0.25">
      <c r="A35" s="339">
        <v>34</v>
      </c>
      <c r="B35" s="340">
        <v>34</v>
      </c>
      <c r="C35" s="43">
        <f t="shared" si="0"/>
        <v>0</v>
      </c>
      <c r="D35" s="341"/>
      <c r="E35" s="342"/>
      <c r="F35" s="343"/>
      <c r="G35" s="344"/>
      <c r="H35" s="345"/>
      <c r="I35" s="346"/>
      <c r="J35" s="347"/>
      <c r="K35" s="16"/>
      <c r="L35" s="15"/>
      <c r="M35" s="15"/>
    </row>
    <row r="36" spans="1:13" ht="13.5" x14ac:dyDescent="0.25">
      <c r="A36" s="348"/>
      <c r="B36" s="349"/>
      <c r="C36" s="350"/>
      <c r="D36" s="351"/>
      <c r="E36" s="352"/>
      <c r="F36" s="353"/>
      <c r="G36" s="354"/>
      <c r="H36" s="355"/>
      <c r="I36" s="356"/>
      <c r="J36" s="357"/>
      <c r="K36" s="16"/>
      <c r="L36" s="15"/>
      <c r="M36" s="15"/>
    </row>
    <row r="37" spans="1:13" x14ac:dyDescent="0.2">
      <c r="G37" s="3"/>
      <c r="J37" s="3"/>
      <c r="K37" s="3"/>
    </row>
    <row r="38" spans="1:13" x14ac:dyDescent="0.2">
      <c r="G38" s="3"/>
      <c r="J38" s="3"/>
      <c r="K38" s="3"/>
    </row>
  </sheetData>
  <sortState xmlns:xlrd2="http://schemas.microsoft.com/office/spreadsheetml/2017/richdata2" ref="B1:L33">
    <sortCondition descending="1" ref="G1:G33"/>
    <sortCondition ref="E1:E33"/>
    <sortCondition descending="1" ref="J1:J33"/>
  </sortState>
  <dataConsolidate/>
  <conditionalFormatting sqref="C2:C38">
    <cfRule type="cellIs" dxfId="21" priority="31" operator="lessThan">
      <formula>0</formula>
    </cfRule>
    <cfRule type="cellIs" dxfId="20" priority="32" operator="greaterThan">
      <formula>0</formula>
    </cfRule>
  </conditionalFormatting>
  <conditionalFormatting sqref="C2:C38">
    <cfRule type="cellIs" dxfId="19" priority="30" operator="equal">
      <formula>0</formula>
    </cfRule>
  </conditionalFormatting>
  <conditionalFormatting sqref="C2:C38">
    <cfRule type="cellIs" dxfId="18" priority="29" operator="equal">
      <formula>0</formula>
    </cfRule>
  </conditionalFormatting>
  <conditionalFormatting sqref="D42:D67 D2:D37">
    <cfRule type="cellIs" dxfId="17" priority="28" operator="equal">
      <formula>$O$3</formula>
    </cfRule>
  </conditionalFormatting>
  <conditionalFormatting sqref="D42:D67 D2:D37">
    <cfRule type="cellIs" dxfId="16" priority="27" operator="equal">
      <formula>$P$3</formula>
    </cfRule>
  </conditionalFormatting>
  <conditionalFormatting sqref="D38">
    <cfRule type="cellIs" dxfId="15" priority="16" operator="equal">
      <formula>$O$3</formula>
    </cfRule>
  </conditionalFormatting>
  <conditionalFormatting sqref="D38">
    <cfRule type="cellIs" dxfId="14" priority="15" operator="equal">
      <formula>$P$3</formula>
    </cfRule>
  </conditionalFormatting>
  <conditionalFormatting sqref="L1:M1 L3:M1048576">
    <cfRule type="cellIs" dxfId="13" priority="14" operator="lessThan">
      <formula>EDATE($P$21,-18)</formula>
    </cfRule>
  </conditionalFormatting>
  <conditionalFormatting sqref="L2:M2">
    <cfRule type="cellIs" dxfId="12" priority="7" operator="lessThan">
      <formula>EDATE($P$21,-18)</formula>
    </cfRule>
  </conditionalFormatting>
  <conditionalFormatting sqref="O15">
    <cfRule type="cellIs" dxfId="11" priority="6" operator="equal">
      <formula>$O$3</formula>
    </cfRule>
  </conditionalFormatting>
  <conditionalFormatting sqref="O15">
    <cfRule type="cellIs" dxfId="10" priority="5" operator="equal">
      <formula>$P$3</formula>
    </cfRule>
  </conditionalFormatting>
  <conditionalFormatting sqref="P15">
    <cfRule type="cellIs" dxfId="9" priority="2" operator="equal">
      <formula>$O$3</formula>
    </cfRule>
  </conditionalFormatting>
  <conditionalFormatting sqref="P15">
    <cfRule type="cellIs" dxfId="8" priority="1" operator="equal">
      <formula>$P$3</formula>
    </cfRule>
  </conditionalFormatting>
  <dataValidations count="2">
    <dataValidation type="list" allowBlank="1" showInputMessage="1" showErrorMessage="1" sqref="Z4" xr:uid="{00000000-0002-0000-0000-000000000000}">
      <formula1>$D$2:$D$17</formula1>
    </dataValidation>
    <dataValidation type="list" allowBlank="1" showInputMessage="1" showErrorMessage="1" sqref="O3:P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2023-08-19T10:13:49Z</dcterms:modified>
</cp:coreProperties>
</file>