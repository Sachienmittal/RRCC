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5534577D-5E47-4FF4-8A6E-70BE8A323CC1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/>
  <c r="G5" i="10"/>
  <c r="G20" i="10"/>
  <c r="J19" i="10"/>
  <c r="J8" i="10"/>
  <c r="G19" i="10"/>
  <c r="G8" i="10"/>
  <c r="J26" i="10"/>
  <c r="G26" i="10"/>
  <c r="N15" i="10"/>
  <c r="O15" i="10"/>
  <c r="J6" i="10"/>
  <c r="J15" i="10"/>
  <c r="G6" i="10"/>
  <c r="G15" i="10"/>
  <c r="J3" i="10"/>
  <c r="G3" i="10"/>
  <c r="J12" i="10"/>
  <c r="G12" i="10"/>
  <c r="J28" i="10"/>
  <c r="G28" i="10"/>
  <c r="J32" i="10"/>
  <c r="J11" i="10"/>
  <c r="G32" i="10"/>
  <c r="G11" i="10"/>
  <c r="J31" i="10"/>
  <c r="J9" i="10"/>
  <c r="G31" i="10"/>
  <c r="G9" i="10"/>
  <c r="J2" i="10"/>
  <c r="G2" i="10"/>
  <c r="J25" i="10"/>
  <c r="G25" i="10"/>
  <c r="J23" i="10"/>
  <c r="J10" i="10"/>
  <c r="G23" i="10"/>
  <c r="G10" i="10"/>
  <c r="J30" i="10"/>
  <c r="J13" i="10"/>
  <c r="G30" i="10"/>
  <c r="G13" i="10"/>
  <c r="J29" i="10"/>
  <c r="G29" i="10"/>
  <c r="J27" i="10"/>
  <c r="G27" i="10"/>
  <c r="J16" i="10"/>
  <c r="G16" i="10"/>
  <c r="J7" i="10"/>
  <c r="G7" i="10"/>
  <c r="J22" i="10"/>
  <c r="G22" i="10"/>
  <c r="J20" i="10"/>
  <c r="J14" i="10"/>
  <c r="G14" i="10"/>
  <c r="J33" i="10"/>
  <c r="G33" i="10"/>
  <c r="J21" i="10"/>
  <c r="G21" i="10"/>
  <c r="O21" i="10"/>
  <c r="C35" i="10" l="1"/>
  <c r="C32" i="10"/>
  <c r="Q3" i="10" l="1"/>
  <c r="R3" i="10"/>
  <c r="J4" i="10" l="1"/>
  <c r="G4" i="10"/>
  <c r="C27" i="10" l="1"/>
  <c r="C18" i="10"/>
  <c r="C17" i="10"/>
  <c r="C24" i="10"/>
  <c r="C33" i="10"/>
  <c r="C7" i="10"/>
  <c r="C22" i="10"/>
  <c r="C20" i="10"/>
  <c r="C29" i="10"/>
  <c r="C13" i="10"/>
  <c r="C16" i="10"/>
  <c r="C30" i="10"/>
  <c r="C23" i="10"/>
  <c r="C9" i="10"/>
  <c r="C25" i="10"/>
  <c r="C28" i="10"/>
  <c r="C3" i="10"/>
  <c r="C5" i="10"/>
  <c r="C26" i="10"/>
  <c r="C8" i="10"/>
  <c r="C12" i="10"/>
  <c r="C15" i="10"/>
  <c r="C34" i="10"/>
  <c r="J18" i="10" l="1"/>
  <c r="G18" i="10"/>
  <c r="G24" i="10" l="1"/>
  <c r="J24" i="10"/>
  <c r="J17" i="10" l="1"/>
  <c r="G17" i="10"/>
  <c r="S3" i="10" s="1"/>
  <c r="T3" i="10" l="1"/>
  <c r="V3" i="10" s="1"/>
  <c r="U3" i="10" l="1"/>
  <c r="C10" i="10"/>
  <c r="C6" i="10"/>
  <c r="C21" i="10"/>
  <c r="N4" i="10" l="1"/>
  <c r="O4" i="10"/>
  <c r="C2" i="10"/>
  <c r="C11" i="10"/>
  <c r="C4" i="10"/>
  <c r="C19" i="10"/>
  <c r="C31" i="10"/>
  <c r="C14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<sst xmlns="http://schemas.openxmlformats.org/spreadsheetml/2006/main" count="105" uniqueCount="91">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</sst>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N33" sqref="N33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3</v>
      </c>
      <c r="C3" s="3">
        <f>B3-A3</f>
        <v>1</v>
      </c>
      <c r="D3" s="3" t="s">
        <v>55</v>
      </c>
      <c r="E3" s="3">
        <v>5</v>
      </c>
      <c r="F3" s="4">
        <v>882</v>
      </c>
      <c r="G3" s="5">
        <f>CEILING(F3/E3,1)</f>
        <v>177</v>
      </c>
      <c r="H3" s="3">
        <v>4</v>
      </c>
      <c r="I3" s="3">
        <v>1</v>
      </c>
      <c r="J3" s="5">
        <f>(H3/E3)*100</f>
        <v>80</v>
      </c>
      <c r="K3" s="5"/>
      <c r="L3" s="10">
        <v>45108</v>
      </c>
      <c r="N3" s="3" t="s">
        <v>51</v>
      </c>
      <c r="O3" s="3" t="s">
        <v>90</v>
      </c>
      <c r="Q3" s="3">
        <f>VLOOKUP(N3,$D$2:$G$49,3,FALSE)</f>
        <v>1432</v>
      </c>
      <c r="R3" s="3">
        <f>VLOOKUP(O3,$D$2:$G$49,3,FALSE)</f>
        <v>290</v>
      </c>
      <c r="S3" s="3">
        <f>VLOOKUP(N3,$D$2:$G$49,4,FALSE)</f>
        <v>120</v>
      </c>
      <c r="T3" s="3">
        <f>VLOOKUP(O3,$D$2:$G$49,4,FALSE)</f>
        <v>145</v>
      </c>
      <c r="U3" s="3">
        <f>IF(S3&gt;T3,S3-T3,T3-S3)</f>
        <v>25</v>
      </c>
      <c r="V3" s="3">
        <f>S3-T3</f>
        <v>-25</v>
      </c>
      <c r="X3" s="3" t="s">
        <v>15</v>
      </c>
    </row>
    <row r="4" spans="1:27" x14ac:dyDescent="0.2">
      <c r="A4" s="3">
        <v>3</v>
      </c>
      <c r="B4" s="3">
        <v>4</v>
      </c>
      <c r="C4" s="3">
        <f>B4-A4</f>
        <v>1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195</v>
      </c>
      <c r="O4" s="6">
        <f>IF($U$3&lt;40,$S$3-50,IF($V$3&gt;0,$T$3-10,$T$3-90))</f>
        <v>70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2</v>
      </c>
      <c r="C5" s="3">
        <f>B5-A5</f>
        <v>-2</v>
      </c>
      <c r="D5" s="3" t="s">
        <v>90</v>
      </c>
      <c r="E5" s="3">
        <v>2</v>
      </c>
      <c r="F5" s="4">
        <v>290</v>
      </c>
      <c r="G5" s="5">
        <f>CEILING(F5/E5,1)</f>
        <v>145</v>
      </c>
      <c r="H5" s="3">
        <v>1</v>
      </c>
      <c r="I5" s="3">
        <v>1</v>
      </c>
      <c r="J5" s="5">
        <f>(H5/E5)*100</f>
        <v>50</v>
      </c>
      <c r="K5" s="5"/>
      <c r="L5" s="10">
        <v>45131.921001157411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59</v>
      </c>
      <c r="E8" s="3">
        <v>7</v>
      </c>
      <c r="F8" s="4">
        <v>878</v>
      </c>
      <c r="G8" s="5">
        <f>CEILING(F8/E8,1)</f>
        <v>126</v>
      </c>
      <c r="H8" s="3">
        <v>5</v>
      </c>
      <c r="I8" s="3">
        <v>2</v>
      </c>
      <c r="J8" s="5">
        <f>(H8/E8)*100</f>
        <v>71.428571428571431</v>
      </c>
      <c r="K8" s="5"/>
      <c r="L8" s="10">
        <v>45129.766002662036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49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44859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45</v>
      </c>
      <c r="E10" s="3">
        <v>2</v>
      </c>
      <c r="F10" s="4">
        <v>250</v>
      </c>
      <c r="G10" s="5">
        <f>CEILING(F10/E10,1)</f>
        <v>125</v>
      </c>
      <c r="H10" s="3">
        <v>1</v>
      </c>
      <c r="I10" s="3">
        <v>1</v>
      </c>
      <c r="J10" s="5">
        <f>(H10/E10)*100</f>
        <v>50</v>
      </c>
      <c r="K10" s="5"/>
      <c r="L10" s="10">
        <v>44871</v>
      </c>
      <c r="Q10" s="3" t="s">
        <v>31</v>
      </c>
    </row>
    <row r="11" spans="1:27" x14ac:dyDescent="0.2">
      <c r="A11" s="3">
        <v>10</v>
      </c>
      <c r="B11" s="3">
        <v>12</v>
      </c>
      <c r="C11" s="3">
        <f>B11-A11</f>
        <v>2</v>
      </c>
      <c r="D11" s="3" t="s">
        <v>51</v>
      </c>
      <c r="E11" s="3">
        <v>12</v>
      </c>
      <c r="F11" s="4">
        <v>1432</v>
      </c>
      <c r="G11" s="5">
        <f>CEILING(F11/E11,1)</f>
        <v>120</v>
      </c>
      <c r="H11" s="3">
        <v>6</v>
      </c>
      <c r="I11" s="3">
        <v>6</v>
      </c>
      <c r="J11" s="5">
        <f>(H11/E11)*100</f>
        <v>50</v>
      </c>
      <c r="K11" s="5"/>
      <c r="L11" s="10">
        <v>45131.921080208333</v>
      </c>
    </row>
    <row r="12" spans="1:27" x14ac:dyDescent="0.2">
      <c r="A12" s="3">
        <v>11</v>
      </c>
      <c r="B12" s="3">
        <v>10</v>
      </c>
      <c r="C12" s="3">
        <f>B12-A12</f>
        <v>-1</v>
      </c>
      <c r="D12" s="3" t="s">
        <v>54</v>
      </c>
      <c r="E12" s="3">
        <v>3</v>
      </c>
      <c r="F12" s="4">
        <v>348</v>
      </c>
      <c r="G12" s="5">
        <f>CEILING(F12/E12,1)</f>
        <v>116</v>
      </c>
      <c r="H12" s="3">
        <v>2</v>
      </c>
      <c r="I12" s="3">
        <v>1</v>
      </c>
      <c r="J12" s="5">
        <f>(H12/E12)*100</f>
        <v>66.666666666666657</v>
      </c>
      <c r="K12" s="5"/>
      <c r="L12" s="10">
        <v>44941</v>
      </c>
    </row>
    <row r="13" spans="1:27" x14ac:dyDescent="0.2">
      <c r="A13" s="3">
        <v>12</v>
      </c>
      <c r="B13" s="3">
        <v>11</v>
      </c>
      <c r="C13" s="3">
        <f>B13-A13</f>
        <v>-1</v>
      </c>
      <c r="D13" s="3" t="s">
        <v>43</v>
      </c>
      <c r="E13" s="3">
        <v>2</v>
      </c>
      <c r="F13" s="4">
        <v>225</v>
      </c>
      <c r="G13" s="5">
        <f>CEILING(F13/E13,1)</f>
        <v>113</v>
      </c>
      <c r="H13" s="3">
        <v>1</v>
      </c>
      <c r="I13" s="3">
        <v>1</v>
      </c>
      <c r="J13" s="5">
        <f>(H13/E13)*100</f>
        <v>50</v>
      </c>
      <c r="K13" s="5"/>
      <c r="L13" s="10">
        <v>44885</v>
      </c>
      <c r="M13" s="3" t="s">
        <v>13</v>
      </c>
      <c r="N13" s="6">
        <v>202</v>
      </c>
      <c r="O13" s="6">
        <v>100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45018</v>
      </c>
      <c r="M14" s="3" t="s">
        <v>22</v>
      </c>
      <c r="N14" s="4">
        <v>1230</v>
      </c>
      <c r="O14" s="4">
        <v>190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45124.378568287037</v>
      </c>
      <c r="M15" s="3" t="s">
        <v>23</v>
      </c>
      <c r="N15" s="12">
        <f>SUM(N13:N14)</f>
        <v>1432</v>
      </c>
      <c r="O15" s="13">
        <f>SUM(O13:O14)</f>
        <v>290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39</v>
      </c>
      <c r="E16" s="3">
        <v>11</v>
      </c>
      <c r="F16" s="4">
        <v>1136</v>
      </c>
      <c r="G16" s="5">
        <f>CEILING(F16/E16,1)</f>
        <v>104</v>
      </c>
      <c r="H16" s="3">
        <v>6</v>
      </c>
      <c r="I16" s="3">
        <v>5</v>
      </c>
      <c r="J16" s="5">
        <f>(H16/E16)*100</f>
        <v>54.54545454545454</v>
      </c>
      <c r="K16" s="5"/>
      <c r="L16" s="10">
        <v>45129.766278819443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28</v>
      </c>
      <c r="E21" s="3">
        <v>8</v>
      </c>
      <c r="F21" s="4">
        <v>788</v>
      </c>
      <c r="G21" s="5">
        <f>CEILING(F21/E21,1)</f>
        <v>99</v>
      </c>
      <c r="H21" s="3">
        <v>2</v>
      </c>
      <c r="I21" s="3">
        <v>6</v>
      </c>
      <c r="J21" s="5">
        <f>(H21/E21)*100</f>
        <v>25</v>
      </c>
      <c r="K21" s="5"/>
      <c r="L21" s="10">
        <v>45116.82311435185</v>
      </c>
      <c r="N21" s="11" t="s">
        <v>30</v>
      </c>
      <c r="O21" s="10">
        <f ca="1">NOW()</f>
        <v>45131.921510069442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46</v>
      </c>
      <c r="E23" s="3">
        <v>2</v>
      </c>
      <c r="F23" s="4">
        <v>190</v>
      </c>
      <c r="G23" s="5">
        <f>CEILING(F23/E23,1)</f>
        <v>95</v>
      </c>
      <c r="H23" s="3">
        <v>1</v>
      </c>
      <c r="I23" s="3">
        <v>1</v>
      </c>
      <c r="J23" s="5">
        <f>(H23/E23)*100</f>
        <v>50</v>
      </c>
      <c r="K23" s="5"/>
      <c r="L23" s="10">
        <v>45115.821512152776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33</v>
      </c>
      <c r="E24" s="3">
        <v>4</v>
      </c>
      <c r="F24" s="4">
        <v>328</v>
      </c>
      <c r="G24" s="5">
        <f>CEILING(F24/E24,1)</f>
        <v>82</v>
      </c>
      <c r="H24" s="3">
        <v>2</v>
      </c>
      <c r="I24" s="3">
        <v>2</v>
      </c>
      <c r="J24" s="5">
        <f>(H24/E24)*100</f>
        <v>50</v>
      </c>
      <c r="K24" s="5"/>
      <c r="L24" s="10">
        <v>44807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47</v>
      </c>
      <c r="E25" s="3">
        <v>8</v>
      </c>
      <c r="F25" s="4">
        <v>641</v>
      </c>
      <c r="G25" s="5">
        <f>CEILING(F25/E25,1)</f>
        <v>81</v>
      </c>
      <c r="H25" s="3">
        <v>4</v>
      </c>
      <c r="I25" s="3">
        <v>4</v>
      </c>
      <c r="J25" s="5">
        <f>(H25/E25)*100</f>
        <v>50</v>
      </c>
      <c r="K25" s="5"/>
      <c r="L25" s="10">
        <v>45080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58</v>
      </c>
      <c r="E26" s="3">
        <v>4</v>
      </c>
      <c r="F26" s="4">
        <v>278</v>
      </c>
      <c r="G26" s="5">
        <f>CEILING(F26/E26,1)</f>
        <v>70</v>
      </c>
      <c r="H26" s="3">
        <v>1</v>
      </c>
      <c r="I26" s="3">
        <v>3</v>
      </c>
      <c r="J26" s="5">
        <f>(H26/E26)*100</f>
        <v>25</v>
      </c>
      <c r="K26" s="5"/>
      <c r="L26" s="10">
        <v>44941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40</v>
      </c>
      <c r="E27" s="3">
        <v>5</v>
      </c>
      <c r="F27" s="4">
        <v>303</v>
      </c>
      <c r="G27" s="5">
        <f>CEILING(F27/E27,1)</f>
        <v>61</v>
      </c>
      <c r="H27" s="3">
        <v>1</v>
      </c>
      <c r="I27" s="3">
        <v>4</v>
      </c>
      <c r="J27" s="5">
        <f>(H27/E27)*100</f>
        <v>20</v>
      </c>
      <c r="K27" s="5"/>
      <c r="L27" s="10">
        <v>45059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53</v>
      </c>
      <c r="E28" s="3">
        <v>9</v>
      </c>
      <c r="F28" s="4">
        <v>538</v>
      </c>
      <c r="G28" s="5">
        <f>CEILING(F28/E28,1)</f>
        <v>60</v>
      </c>
      <c r="H28" s="3">
        <v>3</v>
      </c>
      <c r="I28" s="3">
        <v>6</v>
      </c>
      <c r="J28" s="5">
        <f>(H28/E28)*100</f>
        <v>33.333333333333329</v>
      </c>
      <c r="K28" s="5"/>
      <c r="L28" s="10">
        <v>45073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41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44835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44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44836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2">
      <c r="A33" s="3">
        <v>32</v>
      </c>
      <c r="B33" s="3">
        <v>32</v>
      </c>
      <c r="C33" s="3">
        <f>B33-A33</f>
        <v>0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2">
      <c r="A34" s="3">
        <v>33</v>
      </c>
      <c r="B34" s="3">
        <v>33</v>
      </c>
      <c r="C34" s="3">
        <f t="shared" ref="C34:C35" si="0">B34-A34</f>
        <v>0</v>
      </c>
      <c r="G34" s="5"/>
      <c r="J34" s="5"/>
      <c r="K34" s="5"/>
    </row>
    <row r="35" spans="1:12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2">
      <c r="G36" s="5"/>
      <c r="J36" s="5"/>
      <c r="K36" s="5"/>
    </row>
    <row r="37" spans="1:12" x14ac:dyDescent="0.2">
      <c r="G37" s="5"/>
      <c r="J37" s="5"/>
      <c r="K37" s="5"/>
    </row>
    <row r="38" spans="1:12" x14ac:dyDescent="0.2">
      <c r="G38" s="5"/>
      <c r="J38" s="5"/>
      <c r="K38" s="5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2023-07-24T14:12:50Z</dcterms:modified>
</cp:coreProperties>
</file>