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ED24857E-9CAE-4F91-BF0B-293E40D12C81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9" i="10" l="1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8" i="10"/>
  <c r="C19" i="10"/>
  <c r="C17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9" i="10"/>
  <c r="J19" i="10"/>
  <c r="G20" i="10"/>
  <c r="J20" i="10"/>
  <c r="G18" i="10"/>
  <c r="J18" i="10"/>
  <c r="G17" i="10"/>
  <c r="J17" i="10"/>
  <c r="G21" i="10"/>
  <c r="J21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<sst xmlns="http://schemas.openxmlformats.org/spreadsheetml/2006/main" count="113" uniqueCount="66">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</sst>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/>
    <xf numFmtId="0" fontId="4" fillId="194" borderId="0" xfId="0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2" fontId="4" fillId="196" borderId="0" xfId="0" applyNumberFormat="1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/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/>
    <xf numFmtId="0" fontId="4" fillId="218" borderId="0" xfId="0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2" fontId="4" fillId="220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/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228" borderId="0" xfId="0" applyNumberFormat="1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/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/>
    <xf numFmtId="0" fontId="4" fillId="250" borderId="0" xfId="0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2" fontId="4" fillId="252" borderId="0" xfId="0" applyNumberFormat="1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/>
    <xf numFmtId="0" fontId="4" fillId="266" borderId="0" xfId="0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2" fontId="4" fillId="268" borderId="0" xfId="0" applyNumberFormat="1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/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/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2" fontId="4" fillId="284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92" borderId="0" xfId="0" applyNumberFormat="1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0" fontId="4" fillId="294" borderId="0" xfId="0" applyFont="1" applyFill="1"/>
    <xf numFmtId="0" fontId="4" fillId="295" borderId="0" xfId="0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2" fontId="4" fillId="297" borderId="0" xfId="0" applyNumberFormat="1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0" fontId="4" fillId="299" borderId="0" xfId="0" applyFont="1" applyFill="1" applyAlignment="1">
      <alignment horizontal="center"/>
    </xf>
    <xf numFmtId="2" fontId="4" fillId="300" borderId="0" xfId="0" applyNumberFormat="1" applyFont="1" applyFill="1" applyAlignment="1">
      <alignment horizontal="center"/>
    </xf>
    <xf numFmtId="2" fontId="4" fillId="301" borderId="0" xfId="0" applyNumberFormat="1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0" fontId="4" fillId="302" borderId="0" xfId="0" applyFont="1" applyFill="1"/>
  </cellXfs>
  <cellStyles count="1">
    <cellStyle name="Normal" xfId="0" builtinId="0"/>
  </cellStyles>
  <dxfs count="23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L2" sqref="L2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322">
        <f>B2-A2</f>
        <v>0</v>
      </c>
      <c r="D2" s="61" t="s">
        <v>48</v>
      </c>
      <c r="E2" s="62">
        <v>7</v>
      </c>
      <c r="F2" s="63">
        <v>1261</v>
      </c>
      <c r="G2" s="64">
        <f>CEILING(F2/E2,1)</f>
        <v>181</v>
      </c>
      <c r="H2" s="65">
        <v>6</v>
      </c>
      <c r="I2" s="66">
        <v>1</v>
      </c>
      <c r="J2" s="67">
        <f>(H2/E2)*100</f>
        <v>85.714285714285708</v>
      </c>
      <c r="K2" s="16"/>
      <c r="L2" s="15">
        <v>45348.325287962965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322">
        <f>B3-A3</f>
        <v>0</v>
      </c>
      <c r="D3" s="61" t="s">
        <v>55</v>
      </c>
      <c r="E3" s="69">
        <v>5</v>
      </c>
      <c r="F3" s="70">
        <v>882</v>
      </c>
      <c r="G3" s="71">
        <f>CEILING(F3/E3,1)</f>
        <v>177</v>
      </c>
      <c r="H3" s="72">
        <v>4</v>
      </c>
      <c r="I3" s="73">
        <v>1</v>
      </c>
      <c r="J3" s="74">
        <f>(H3/E3)*100</f>
        <v>80</v>
      </c>
      <c r="K3" s="16"/>
      <c r="L3" s="15">
        <v>45108</v>
      </c>
      <c r="M3" s="15"/>
      <c r="O3" s="1" t="s">
        <v>48</v>
      </c>
      <c r="P3" s="1" t="s">
        <v>54</v>
      </c>
      <c r="R3" s="1">
        <f>VLOOKUP(O3,$D$2:$G$49,3,FALSE)</f>
        <v>1261</v>
      </c>
      <c r="S3" s="1">
        <f>VLOOKUP(P3,$D$2:$G$49,3,FALSE)</f>
        <v>1699</v>
      </c>
      <c r="T3" s="1">
        <f>VLOOKUP(O3,$D$2:$G$49,4,FALSE)</f>
        <v>181</v>
      </c>
      <c r="U3" s="1">
        <f>VLOOKUP(P3,$D$2:$G$49,4,FALSE)</f>
        <v>131</v>
      </c>
      <c r="V3" s="1">
        <f>IF(T3&gt;U3,T3-U3,U3-T3)</f>
        <v>50</v>
      </c>
      <c r="W3" s="1">
        <f>T3-U3</f>
        <v>50</v>
      </c>
      <c r="Y3" s="1" t="s">
        <v>15</v>
      </c>
    </row>
    <row r="4" spans="1:28" ht="13.5" x14ac:dyDescent="0.25">
      <c r="A4" s="75">
        <v>3</v>
      </c>
      <c r="B4" s="60">
        <v>3</v>
      </c>
      <c r="C4" s="322">
        <f>B4-A4</f>
        <v>0</v>
      </c>
      <c r="D4" s="76" t="s">
        <v>32</v>
      </c>
      <c r="E4" s="77">
        <v>7</v>
      </c>
      <c r="F4" s="78">
        <v>1187</v>
      </c>
      <c r="G4" s="79">
        <f>CEILING(F4/E4,1)</f>
        <v>170</v>
      </c>
      <c r="H4" s="80">
        <v>5</v>
      </c>
      <c r="I4" s="81">
        <v>2</v>
      </c>
      <c r="J4" s="82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191</v>
      </c>
      <c r="P4" s="4">
        <f>IF($V$3&lt;40,$T$3-50,IF($W$3&gt;0,$U$3-10,$U$3-90))</f>
        <v>121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322">
        <f>B5-A5</f>
        <v>0</v>
      </c>
      <c r="D5" s="84" t="s">
        <v>63</v>
      </c>
      <c r="E5" s="85">
        <v>9</v>
      </c>
      <c r="F5" s="86">
        <v>1488</v>
      </c>
      <c r="G5" s="87">
        <f>CEILING(F5/E5,1)</f>
        <v>166</v>
      </c>
      <c r="H5" s="88">
        <v>7</v>
      </c>
      <c r="I5" s="89">
        <v>2</v>
      </c>
      <c r="J5" s="90">
        <f>(H5/E5)*100</f>
        <v>77.777777777777786</v>
      </c>
      <c r="K5" s="16"/>
      <c r="L5" s="15">
        <v>45340.670043981481</v>
      </c>
      <c r="M5" s="15"/>
    </row>
    <row r="6" spans="1:28" ht="13.5" x14ac:dyDescent="0.25">
      <c r="A6" s="91">
        <v>5</v>
      </c>
      <c r="B6" s="60">
        <v>5</v>
      </c>
      <c r="C6" s="322">
        <f>B6-A6</f>
        <v>0</v>
      </c>
      <c r="D6" s="92" t="s">
        <v>57</v>
      </c>
      <c r="E6" s="93">
        <v>7</v>
      </c>
      <c r="F6" s="94">
        <v>1014</v>
      </c>
      <c r="G6" s="95">
        <f>CEILING(F6/E6,1)</f>
        <v>145</v>
      </c>
      <c r="H6" s="96">
        <v>6</v>
      </c>
      <c r="I6" s="97">
        <v>1</v>
      </c>
      <c r="J6" s="98">
        <f>(H6/E6)*100</f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322">
        <f>B7-A7</f>
        <v>0</v>
      </c>
      <c r="D7" s="100" t="s">
        <v>38</v>
      </c>
      <c r="E7" s="101">
        <v>2</v>
      </c>
      <c r="F7" s="102">
        <v>273</v>
      </c>
      <c r="G7" s="103">
        <f>CEILING(F7/E7,1)</f>
        <v>137</v>
      </c>
      <c r="H7" s="104">
        <v>1</v>
      </c>
      <c r="I7" s="105">
        <v>1</v>
      </c>
      <c r="J7" s="106">
        <f>(H7/E7)*100</f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7</v>
      </c>
      <c r="C8" s="322">
        <f>B8-A8</f>
        <v>0</v>
      </c>
      <c r="D8" s="108" t="s">
        <v>54</v>
      </c>
      <c r="E8" s="109">
        <v>13</v>
      </c>
      <c r="F8" s="110">
        <v>1699</v>
      </c>
      <c r="G8" s="111">
        <f>CEILING(F8/E8,1)</f>
        <v>131</v>
      </c>
      <c r="H8" s="112">
        <v>8</v>
      </c>
      <c r="I8" s="113">
        <v>5</v>
      </c>
      <c r="J8" s="114">
        <f>(H8/E8)*100</f>
        <v>61.53846153846154</v>
      </c>
      <c r="K8" s="16"/>
      <c r="L8" s="15">
        <v>45348.325543634259</v>
      </c>
      <c r="M8" s="15"/>
    </row>
    <row r="9" spans="1:28" ht="13.5" x14ac:dyDescent="0.25">
      <c r="A9" s="115">
        <v>8</v>
      </c>
      <c r="B9" s="60">
        <v>8</v>
      </c>
      <c r="C9" s="322">
        <f>B9-A9</f>
        <v>0</v>
      </c>
      <c r="D9" s="116" t="s">
        <v>59</v>
      </c>
      <c r="E9" s="117">
        <v>8</v>
      </c>
      <c r="F9" s="118">
        <v>1032</v>
      </c>
      <c r="G9" s="119">
        <f>CEILING(F9/E9,1)</f>
        <v>129</v>
      </c>
      <c r="H9" s="120">
        <v>6</v>
      </c>
      <c r="I9" s="121">
        <v>2</v>
      </c>
      <c r="J9" s="122">
        <f>(H9/E9)*100</f>
        <v>75</v>
      </c>
      <c r="K9" s="16"/>
      <c r="L9" s="15">
        <v>45136.552691435187</v>
      </c>
      <c r="M9" s="15"/>
    </row>
    <row r="10" spans="1:28" ht="13.5" x14ac:dyDescent="0.25">
      <c r="A10" s="123">
        <v>9</v>
      </c>
      <c r="B10" s="60">
        <v>9</v>
      </c>
      <c r="C10" s="322">
        <f>B10-A10</f>
        <v>0</v>
      </c>
      <c r="D10" s="124" t="s">
        <v>61</v>
      </c>
      <c r="E10" s="125">
        <v>9</v>
      </c>
      <c r="F10" s="126">
        <v>1153</v>
      </c>
      <c r="G10" s="127">
        <f>CEILING(F10/E10,1)</f>
        <v>129</v>
      </c>
      <c r="H10" s="128">
        <v>5</v>
      </c>
      <c r="I10" s="129">
        <v>4</v>
      </c>
      <c r="J10" s="130">
        <f>(H10/E10)*100</f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1">
        <v>10</v>
      </c>
      <c r="B11" s="60">
        <v>10</v>
      </c>
      <c r="C11" s="322">
        <f>B11-A11</f>
        <v>0</v>
      </c>
      <c r="D11" s="132" t="s">
        <v>62</v>
      </c>
      <c r="E11" s="133">
        <v>7</v>
      </c>
      <c r="F11" s="134">
        <v>890</v>
      </c>
      <c r="G11" s="135">
        <f>CEILING(F11/E11,1)</f>
        <v>128</v>
      </c>
      <c r="H11" s="136">
        <v>3</v>
      </c>
      <c r="I11" s="137">
        <v>4</v>
      </c>
      <c r="J11" s="138">
        <f>(H11/E11)*100</f>
        <v>42.857142857142854</v>
      </c>
      <c r="K11" s="16"/>
      <c r="L11" s="15">
        <v>45284</v>
      </c>
      <c r="M11" s="15"/>
    </row>
    <row r="12" spans="1:28" ht="13.5" x14ac:dyDescent="0.25">
      <c r="A12" s="139">
        <v>11</v>
      </c>
      <c r="B12" s="60">
        <v>11</v>
      </c>
      <c r="C12" s="322">
        <f>B12-A12</f>
        <v>0</v>
      </c>
      <c r="D12" s="140" t="s">
        <v>49</v>
      </c>
      <c r="E12" s="141">
        <v>2</v>
      </c>
      <c r="F12" s="142">
        <v>250</v>
      </c>
      <c r="G12" s="143">
        <f>CEILING(F12/E12,1)</f>
        <v>125</v>
      </c>
      <c r="H12" s="144">
        <v>1</v>
      </c>
      <c r="I12" s="145">
        <v>1</v>
      </c>
      <c r="J12" s="146">
        <f>(H12/E12)*100</f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322">
        <f>B13-A13</f>
        <v>0</v>
      </c>
      <c r="D13" s="148" t="s">
        <v>45</v>
      </c>
      <c r="E13" s="149">
        <v>2</v>
      </c>
      <c r="F13" s="150">
        <v>250</v>
      </c>
      <c r="G13" s="151">
        <f>CEILING(F13/E13,1)</f>
        <v>125</v>
      </c>
      <c r="H13" s="152">
        <v>1</v>
      </c>
      <c r="I13" s="153">
        <v>1</v>
      </c>
      <c r="J13" s="154">
        <f>(H13/E13)*100</f>
        <v>50</v>
      </c>
      <c r="K13" s="16"/>
      <c r="L13" s="15">
        <v>44871</v>
      </c>
      <c r="M13" s="15"/>
      <c r="N13" s="1" t="s">
        <v>13</v>
      </c>
      <c r="O13" s="4">
        <v>189</v>
      </c>
      <c r="P13" s="4">
        <v>122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322">
        <f>B14-A14</f>
        <v>0</v>
      </c>
      <c r="D14" s="156" t="s">
        <v>43</v>
      </c>
      <c r="E14" s="157">
        <v>10</v>
      </c>
      <c r="F14" s="158">
        <v>1239</v>
      </c>
      <c r="G14" s="159">
        <f>CEILING(F14/E14,1)</f>
        <v>124</v>
      </c>
      <c r="H14" s="160">
        <v>6</v>
      </c>
      <c r="I14" s="161">
        <v>4</v>
      </c>
      <c r="J14" s="162">
        <f>(H14/E14)*100</f>
        <v>60</v>
      </c>
      <c r="K14" s="16"/>
      <c r="L14" s="15">
        <v>45200</v>
      </c>
      <c r="M14" s="15"/>
      <c r="N14" s="1" t="s">
        <v>22</v>
      </c>
      <c r="O14" s="2">
        <v>1072</v>
      </c>
      <c r="P14" s="2">
        <v>1577</v>
      </c>
    </row>
    <row r="15" spans="1:28" ht="13.5" x14ac:dyDescent="0.25">
      <c r="A15" s="163">
        <v>14</v>
      </c>
      <c r="B15" s="60">
        <v>14</v>
      </c>
      <c r="C15" s="322">
        <f>B15-A15</f>
        <v>0</v>
      </c>
      <c r="D15" s="164" t="s">
        <v>64</v>
      </c>
      <c r="E15" s="165">
        <v>8</v>
      </c>
      <c r="F15" s="166">
        <v>911</v>
      </c>
      <c r="G15" s="167">
        <f>CEILING(F15/E15,1)</f>
        <v>114</v>
      </c>
      <c r="H15" s="168">
        <v>4</v>
      </c>
      <c r="I15" s="169">
        <v>4</v>
      </c>
      <c r="J15" s="170">
        <f>(H15/E15)*100</f>
        <v>50</v>
      </c>
      <c r="K15" s="16"/>
      <c r="L15" s="15">
        <v>45284</v>
      </c>
      <c r="M15" s="15"/>
      <c r="N15" s="1" t="s">
        <v>23</v>
      </c>
      <c r="O15" s="37">
        <f>SUM(O13:O14)</f>
        <v>1261</v>
      </c>
      <c r="P15" s="36">
        <f>SUM(P13:P14)</f>
        <v>1699</v>
      </c>
    </row>
    <row r="16" spans="1:28" ht="13.5" x14ac:dyDescent="0.25">
      <c r="A16" s="171">
        <v>15</v>
      </c>
      <c r="B16" s="60">
        <v>15</v>
      </c>
      <c r="C16" s="322">
        <f>B16-A16</f>
        <v>0</v>
      </c>
      <c r="D16" s="172" t="s">
        <v>51</v>
      </c>
      <c r="E16" s="173">
        <v>17</v>
      </c>
      <c r="F16" s="174">
        <v>1843</v>
      </c>
      <c r="G16" s="175">
        <f>CEILING(F16/E16,1)</f>
        <v>109</v>
      </c>
      <c r="H16" s="176">
        <v>7</v>
      </c>
      <c r="I16" s="177">
        <v>9</v>
      </c>
      <c r="J16" s="178">
        <f>(H16/E16)*100</f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16</v>
      </c>
      <c r="C17" s="322">
        <f>B17-A17</f>
        <v>0</v>
      </c>
      <c r="D17" s="196" t="s">
        <v>42</v>
      </c>
      <c r="E17" s="197">
        <v>18</v>
      </c>
      <c r="F17" s="198">
        <v>1947</v>
      </c>
      <c r="G17" s="199">
        <f>CEILING(F17/E17,1)</f>
        <v>109</v>
      </c>
      <c r="H17" s="200">
        <v>10</v>
      </c>
      <c r="I17" s="201">
        <v>8</v>
      </c>
      <c r="J17" s="202">
        <f>(H17/E17)*100</f>
        <v>55.555555555555557</v>
      </c>
      <c r="K17" s="16"/>
      <c r="L17" s="15">
        <v>45346.557478819443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322">
        <f>B18-A18</f>
        <v>0</v>
      </c>
      <c r="D18" s="180" t="s">
        <v>28</v>
      </c>
      <c r="E18" s="181">
        <v>14</v>
      </c>
      <c r="F18" s="182">
        <v>1496</v>
      </c>
      <c r="G18" s="183">
        <f>CEILING(F18/E18,1)</f>
        <v>107</v>
      </c>
      <c r="H18" s="184">
        <v>5</v>
      </c>
      <c r="I18" s="185">
        <v>9</v>
      </c>
      <c r="J18" s="186">
        <f>(H18/E18)*100</f>
        <v>35.714285714285715</v>
      </c>
      <c r="K18" s="16"/>
      <c r="L18" s="15">
        <v>45179.55841435185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18</v>
      </c>
      <c r="C19" s="322">
        <f>B19-A19</f>
        <v>0</v>
      </c>
      <c r="D19" s="188" t="s">
        <v>35</v>
      </c>
      <c r="E19" s="189">
        <v>15</v>
      </c>
      <c r="F19" s="190">
        <v>1592</v>
      </c>
      <c r="G19" s="191">
        <f>CEILING(F19/E19,1)</f>
        <v>107</v>
      </c>
      <c r="H19" s="192">
        <v>8</v>
      </c>
      <c r="I19" s="193">
        <v>7</v>
      </c>
      <c r="J19" s="194">
        <f>(H19/E19)*100</f>
        <v>53.333333333333336</v>
      </c>
      <c r="K19" s="16"/>
      <c r="L19" s="15">
        <v>45018</v>
      </c>
      <c r="M19" s="15"/>
      <c r="O19" s="3"/>
    </row>
    <row r="20" spans="1:27" ht="13.5" x14ac:dyDescent="0.25">
      <c r="A20" s="203">
        <v>19</v>
      </c>
      <c r="B20" s="60">
        <v>19</v>
      </c>
      <c r="C20" s="322">
        <f>B20-A20</f>
        <v>0</v>
      </c>
      <c r="D20" s="204" t="s">
        <v>56</v>
      </c>
      <c r="E20" s="205">
        <v>16</v>
      </c>
      <c r="F20" s="206">
        <v>1639</v>
      </c>
      <c r="G20" s="207">
        <f>CEILING(F20/E20,1)</f>
        <v>103</v>
      </c>
      <c r="H20" s="208">
        <v>8</v>
      </c>
      <c r="I20" s="209">
        <v>8</v>
      </c>
      <c r="J20" s="210">
        <f>(H20/E20)*100</f>
        <v>50</v>
      </c>
      <c r="K20" s="16"/>
      <c r="L20" s="15">
        <v>45283</v>
      </c>
      <c r="M20" s="15"/>
    </row>
    <row r="21" spans="1:27" ht="13.5" x14ac:dyDescent="0.25">
      <c r="A21" s="211">
        <v>20</v>
      </c>
      <c r="B21" s="60">
        <v>20</v>
      </c>
      <c r="C21" s="322">
        <f>B21-A21</f>
        <v>0</v>
      </c>
      <c r="D21" s="212" t="s">
        <v>29</v>
      </c>
      <c r="E21" s="213">
        <v>12</v>
      </c>
      <c r="F21" s="214">
        <v>1215</v>
      </c>
      <c r="G21" s="215">
        <f>CEILING(F21/E21,1)</f>
        <v>102</v>
      </c>
      <c r="H21" s="216">
        <v>7</v>
      </c>
      <c r="I21" s="217">
        <v>5</v>
      </c>
      <c r="J21" s="218">
        <f>(H21/E21)*100</f>
        <v>58.333333333333336</v>
      </c>
      <c r="K21" s="16"/>
      <c r="L21" s="15">
        <v>44814</v>
      </c>
      <c r="M21" s="15"/>
      <c r="O21" s="9" t="s">
        <v>30</v>
      </c>
      <c r="P21" s="8">
        <f ca="1">NOW()</f>
        <v>45348.325979629626</v>
      </c>
    </row>
    <row r="22" spans="1:27" ht="13.5" x14ac:dyDescent="0.25">
      <c r="A22" s="219">
        <v>21</v>
      </c>
      <c r="B22" s="60">
        <v>21</v>
      </c>
      <c r="C22" s="322">
        <f>B22-A22</f>
        <v>0</v>
      </c>
      <c r="D22" s="220" t="s">
        <v>60</v>
      </c>
      <c r="E22" s="221">
        <v>5</v>
      </c>
      <c r="F22" s="222">
        <v>503</v>
      </c>
      <c r="G22" s="223">
        <f>CEILING(F22/E22,1)</f>
        <v>101</v>
      </c>
      <c r="H22" s="224">
        <v>2</v>
      </c>
      <c r="I22" s="225">
        <v>3</v>
      </c>
      <c r="J22" s="226">
        <f>(H22/E22)*100</f>
        <v>40</v>
      </c>
      <c r="K22" s="16"/>
      <c r="L22" s="15">
        <v>45080</v>
      </c>
      <c r="M22" s="15"/>
    </row>
    <row r="23" spans="1:27" ht="13.5" x14ac:dyDescent="0.25">
      <c r="A23" s="227">
        <v>22</v>
      </c>
      <c r="B23" s="60">
        <v>22</v>
      </c>
      <c r="C23" s="322">
        <f>B23-A23</f>
        <v>0</v>
      </c>
      <c r="D23" s="228" t="s">
        <v>39</v>
      </c>
      <c r="E23" s="229">
        <v>12</v>
      </c>
      <c r="F23" s="230">
        <v>1212</v>
      </c>
      <c r="G23" s="231">
        <f>CEILING(F23/E23,1)</f>
        <v>101</v>
      </c>
      <c r="H23" s="232">
        <v>6</v>
      </c>
      <c r="I23" s="233">
        <v>6</v>
      </c>
      <c r="J23" s="234">
        <f>(H23/E23)*100</f>
        <v>50</v>
      </c>
      <c r="K23" s="16"/>
      <c r="L23" s="15">
        <v>45136.552764120373</v>
      </c>
      <c r="M23" s="15"/>
    </row>
    <row r="24" spans="1:27" ht="13.5" x14ac:dyDescent="0.25">
      <c r="A24" s="235">
        <v>23</v>
      </c>
      <c r="B24" s="60">
        <v>23</v>
      </c>
      <c r="C24" s="322">
        <f>B24-A24</f>
        <v>0</v>
      </c>
      <c r="D24" s="236" t="s">
        <v>37</v>
      </c>
      <c r="E24" s="237">
        <v>6</v>
      </c>
      <c r="F24" s="238">
        <v>579</v>
      </c>
      <c r="G24" s="239">
        <f>CEILING(F24/E24,1)</f>
        <v>97</v>
      </c>
      <c r="H24" s="240">
        <v>2</v>
      </c>
      <c r="I24" s="241">
        <v>4</v>
      </c>
      <c r="J24" s="242">
        <f>(H24/E24)*100</f>
        <v>33.333333333333329</v>
      </c>
      <c r="K24" s="16"/>
      <c r="L24" s="15">
        <v>45038</v>
      </c>
      <c r="M24" s="15"/>
    </row>
    <row r="25" spans="1:27" ht="13.5" x14ac:dyDescent="0.25">
      <c r="A25" s="243">
        <v>24</v>
      </c>
      <c r="B25" s="60">
        <v>24</v>
      </c>
      <c r="C25" s="322">
        <f>B25-A25</f>
        <v>0</v>
      </c>
      <c r="D25" s="244" t="s">
        <v>53</v>
      </c>
      <c r="E25" s="245">
        <v>15</v>
      </c>
      <c r="F25" s="246">
        <v>1374</v>
      </c>
      <c r="G25" s="247">
        <f>CEILING(F25/E25,1)</f>
        <v>92</v>
      </c>
      <c r="H25" s="248">
        <v>7</v>
      </c>
      <c r="I25" s="249">
        <v>8</v>
      </c>
      <c r="J25" s="250">
        <f>(H25/E25)*100</f>
        <v>46.666666666666664</v>
      </c>
      <c r="K25" s="16"/>
      <c r="L25" s="15">
        <v>45262</v>
      </c>
      <c r="M25" s="15"/>
    </row>
    <row r="26" spans="1:27" ht="13.5" x14ac:dyDescent="0.25">
      <c r="A26" s="251">
        <v>25</v>
      </c>
      <c r="B26" s="60">
        <v>25</v>
      </c>
      <c r="C26" s="322">
        <f>B26-A26</f>
        <v>0</v>
      </c>
      <c r="D26" s="252" t="s">
        <v>46</v>
      </c>
      <c r="E26" s="253">
        <v>9</v>
      </c>
      <c r="F26" s="254">
        <v>812</v>
      </c>
      <c r="G26" s="255">
        <f>CEILING(F26/E26,1)</f>
        <v>91</v>
      </c>
      <c r="H26" s="256">
        <v>3</v>
      </c>
      <c r="I26" s="257">
        <v>6</v>
      </c>
      <c r="J26" s="258">
        <f>(H26/E26)*100</f>
        <v>33.333333333333329</v>
      </c>
      <c r="K26" s="16"/>
      <c r="L26" s="15">
        <v>45185.558495370373</v>
      </c>
      <c r="M26" s="15"/>
    </row>
    <row r="27" spans="1:27" ht="13.5" x14ac:dyDescent="0.25">
      <c r="A27" s="259">
        <v>26</v>
      </c>
      <c r="B27" s="60">
        <v>26</v>
      </c>
      <c r="C27" s="322">
        <f>B27-A27</f>
        <v>0</v>
      </c>
      <c r="D27" s="260" t="s">
        <v>36</v>
      </c>
      <c r="E27" s="261">
        <v>21</v>
      </c>
      <c r="F27" s="262">
        <v>1903</v>
      </c>
      <c r="G27" s="263">
        <f>CEILING(F27/E27,1)</f>
        <v>91</v>
      </c>
      <c r="H27" s="264">
        <v>8</v>
      </c>
      <c r="I27" s="265">
        <v>13</v>
      </c>
      <c r="J27" s="266">
        <f>(H27/E27)*100</f>
        <v>38.095238095238095</v>
      </c>
      <c r="K27" s="16"/>
      <c r="L27" s="15">
        <v>45268</v>
      </c>
      <c r="M27" s="15"/>
    </row>
    <row r="28" spans="1:27" ht="13.5" x14ac:dyDescent="0.25">
      <c r="A28" s="267">
        <v>27</v>
      </c>
      <c r="B28" s="60">
        <v>27</v>
      </c>
      <c r="C28" s="322">
        <f>B28-A28</f>
        <v>0</v>
      </c>
      <c r="D28" s="268" t="s">
        <v>33</v>
      </c>
      <c r="E28" s="269">
        <v>4</v>
      </c>
      <c r="F28" s="270">
        <v>328</v>
      </c>
      <c r="G28" s="271">
        <f>CEILING(F28/E28,1)</f>
        <v>82</v>
      </c>
      <c r="H28" s="272">
        <v>2</v>
      </c>
      <c r="I28" s="273">
        <v>2</v>
      </c>
      <c r="J28" s="274">
        <f>(H28/E28)*100</f>
        <v>50</v>
      </c>
      <c r="K28" s="16"/>
      <c r="L28" s="15">
        <v>44807</v>
      </c>
      <c r="M28" s="15"/>
    </row>
    <row r="29" spans="1:27" ht="13.5" x14ac:dyDescent="0.25">
      <c r="A29" s="275">
        <v>28</v>
      </c>
      <c r="B29" s="60">
        <v>28</v>
      </c>
      <c r="C29" s="322">
        <f>B29-A29</f>
        <v>0</v>
      </c>
      <c r="D29" s="276" t="s">
        <v>47</v>
      </c>
      <c r="E29" s="277">
        <v>10</v>
      </c>
      <c r="F29" s="278">
        <v>769</v>
      </c>
      <c r="G29" s="279">
        <f>CEILING(F29/E29,1)</f>
        <v>77</v>
      </c>
      <c r="H29" s="280">
        <v>4</v>
      </c>
      <c r="I29" s="281">
        <v>6</v>
      </c>
      <c r="J29" s="282">
        <f>(H29/E29)*100</f>
        <v>40</v>
      </c>
      <c r="K29" s="16"/>
      <c r="L29" s="8">
        <f ca="1">NOW()</f>
        <v>45348.325979629626</v>
      </c>
      <c r="M29" s="15"/>
    </row>
    <row r="30" spans="1:27" ht="13.5" x14ac:dyDescent="0.25">
      <c r="A30" s="283">
        <v>29</v>
      </c>
      <c r="B30" s="60">
        <v>29</v>
      </c>
      <c r="C30" s="322">
        <f>B30-A30</f>
        <v>0</v>
      </c>
      <c r="D30" s="284" t="s">
        <v>58</v>
      </c>
      <c r="E30" s="285">
        <v>4</v>
      </c>
      <c r="F30" s="286">
        <v>278</v>
      </c>
      <c r="G30" s="287">
        <f>CEILING(F30/E30,1)</f>
        <v>70</v>
      </c>
      <c r="H30" s="288">
        <v>1</v>
      </c>
      <c r="I30" s="289">
        <v>3</v>
      </c>
      <c r="J30" s="290">
        <f>(H30/E30)*100</f>
        <v>25</v>
      </c>
      <c r="K30" s="16"/>
      <c r="L30" s="15">
        <v>44941</v>
      </c>
      <c r="M30" s="15"/>
    </row>
    <row r="31" spans="1:27" ht="13.5" x14ac:dyDescent="0.25">
      <c r="A31" s="291">
        <v>30</v>
      </c>
      <c r="B31" s="60">
        <v>30</v>
      </c>
      <c r="C31" s="322">
        <f>B31-A31</f>
        <v>0</v>
      </c>
      <c r="D31" s="292" t="s">
        <v>40</v>
      </c>
      <c r="E31" s="293">
        <v>5</v>
      </c>
      <c r="F31" s="294">
        <v>303</v>
      </c>
      <c r="G31" s="295">
        <f>CEILING(F31/E31,1)</f>
        <v>61</v>
      </c>
      <c r="H31" s="296">
        <v>1</v>
      </c>
      <c r="I31" s="297">
        <v>4</v>
      </c>
      <c r="J31" s="298">
        <f>(H31/E31)*100</f>
        <v>20</v>
      </c>
      <c r="K31" s="16"/>
      <c r="L31" s="15">
        <v>45059</v>
      </c>
      <c r="M31" s="15"/>
    </row>
    <row r="32" spans="1:27" ht="13.5" x14ac:dyDescent="0.25">
      <c r="A32" s="299">
        <v>31</v>
      </c>
      <c r="B32" s="60">
        <v>31</v>
      </c>
      <c r="C32" s="322">
        <f>B32-A32</f>
        <v>0</v>
      </c>
      <c r="D32" s="300" t="s">
        <v>41</v>
      </c>
      <c r="E32" s="301">
        <v>1</v>
      </c>
      <c r="F32" s="302">
        <v>50</v>
      </c>
      <c r="G32" s="303">
        <f>CEILING(F32/E32,1)</f>
        <v>50</v>
      </c>
      <c r="H32" s="304">
        <v>0</v>
      </c>
      <c r="I32" s="305">
        <v>1</v>
      </c>
      <c r="J32" s="306">
        <f>(H32/E32)*100</f>
        <v>0</v>
      </c>
      <c r="K32" s="16"/>
      <c r="L32" s="15">
        <v>44835</v>
      </c>
      <c r="M32" s="15"/>
    </row>
    <row r="33" spans="1:13" ht="13.5" x14ac:dyDescent="0.25">
      <c r="A33" s="307">
        <v>32</v>
      </c>
      <c r="B33" s="60">
        <v>32</v>
      </c>
      <c r="C33" s="322">
        <f>B33-A33</f>
        <v>0</v>
      </c>
      <c r="D33" s="43" t="s">
        <v>44</v>
      </c>
      <c r="E33" s="44">
        <v>1</v>
      </c>
      <c r="F33" s="308">
        <v>50</v>
      </c>
      <c r="G33" s="309">
        <f>CEILING(F33/E33,1)</f>
        <v>50</v>
      </c>
      <c r="H33" s="310">
        <v>0</v>
      </c>
      <c r="I33" s="311">
        <v>1</v>
      </c>
      <c r="J33" s="312">
        <f>(H33/E33)*100</f>
        <v>0</v>
      </c>
      <c r="K33" s="16"/>
      <c r="L33" s="15">
        <v>44836</v>
      </c>
      <c r="M33" s="15"/>
    </row>
    <row r="34" spans="1:13" ht="13.5" x14ac:dyDescent="0.25">
      <c r="A34" s="313">
        <v>33</v>
      </c>
      <c r="B34" s="60">
        <v>33</v>
      </c>
      <c r="C34" s="322">
        <f>B34-A34</f>
        <v>0</v>
      </c>
      <c r="D34" s="314" t="s">
        <v>50</v>
      </c>
      <c r="E34" s="315">
        <v>1</v>
      </c>
      <c r="F34" s="316">
        <v>50</v>
      </c>
      <c r="G34" s="317">
        <f>CEILING(F34/E34,1)</f>
        <v>50</v>
      </c>
      <c r="H34" s="318">
        <v>0</v>
      </c>
      <c r="I34" s="319">
        <v>1</v>
      </c>
      <c r="J34" s="320">
        <f>(H34/E34)*100</f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60">
        <v>34</v>
      </c>
      <c r="C35" s="322">
        <f>B35-A35</f>
        <v>0</v>
      </c>
      <c r="D35" s="46" t="s">
        <v>52</v>
      </c>
      <c r="E35" s="47">
        <v>1</v>
      </c>
      <c r="F35" s="48">
        <v>50</v>
      </c>
      <c r="G35" s="321">
        <f>CEILING(F35/E35,1)</f>
        <v>50</v>
      </c>
      <c r="H35" s="49">
        <v>0</v>
      </c>
      <c r="I35" s="50">
        <v>1</v>
      </c>
      <c r="J35" s="42">
        <f>(H35/E35)*100</f>
        <v>0</v>
      </c>
      <c r="K35" s="13"/>
      <c r="L35" s="15">
        <v>44849</v>
      </c>
      <c r="M35" s="15"/>
    </row>
    <row r="36" spans="1:13" ht="13.5" x14ac:dyDescent="0.25">
      <c r="A36" s="51"/>
      <c r="B36" s="52"/>
      <c r="C36" s="323"/>
      <c r="D36" s="53"/>
      <c r="E36" s="54"/>
      <c r="F36" s="55"/>
      <c r="G36" s="56"/>
      <c r="H36" s="57"/>
      <c r="I36" s="58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5">
    <sortCondition descending="1" ref="G1:G35"/>
    <sortCondition ref="E1:E35"/>
    <sortCondition descending="1" ref="J1:J35"/>
  </sortState>
  <dataConsolidate/>
  <conditionalFormatting sqref="C2:C38">
    <cfRule type="cellIs" dxfId="22" priority="32" operator="lessThan">
      <formula>0</formula>
    </cfRule>
    <cfRule type="cellIs" dxfId="21" priority="33" operator="greaterThan">
      <formula>0</formula>
    </cfRule>
  </conditionalFormatting>
  <conditionalFormatting sqref="C2:C38">
    <cfRule type="cellIs" dxfId="20" priority="31" operator="equal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D42:D67 D2:D37">
    <cfRule type="cellIs" dxfId="18" priority="29" operator="equal">
      <formula>$O$3</formula>
    </cfRule>
  </conditionalFormatting>
  <conditionalFormatting sqref="D42:D67 D2:D37">
    <cfRule type="cellIs" dxfId="17" priority="28" operator="equal">
      <formula>$P$3</formula>
    </cfRule>
  </conditionalFormatting>
  <conditionalFormatting sqref="D38">
    <cfRule type="cellIs" dxfId="16" priority="17" operator="equal">
      <formula>$O$3</formula>
    </cfRule>
  </conditionalFormatting>
  <conditionalFormatting sqref="D38">
    <cfRule type="cellIs" dxfId="15" priority="16" operator="equal">
      <formula>$P$3</formula>
    </cfRule>
  </conditionalFormatting>
  <conditionalFormatting sqref="L1:M1 L3:M28 L30:M1048576 M29">
    <cfRule type="cellIs" dxfId="14" priority="15" operator="lessThan">
      <formula>EDATE($P$21,-18)</formula>
    </cfRule>
  </conditionalFormatting>
  <conditionalFormatting sqref="M2">
    <cfRule type="cellIs" dxfId="13" priority="8" operator="lessThan">
      <formula>EDATE($P$21,-18)</formula>
    </cfRule>
  </conditionalFormatting>
  <conditionalFormatting sqref="O15">
    <cfRule type="cellIs" dxfId="12" priority="7" operator="equal">
      <formula>$O$3</formula>
    </cfRule>
  </conditionalFormatting>
  <conditionalFormatting sqref="O15">
    <cfRule type="cellIs" dxfId="11" priority="6" operator="equal">
      <formula>$P$3</formula>
    </cfRule>
  </conditionalFormatting>
  <conditionalFormatting sqref="P15">
    <cfRule type="cellIs" dxfId="10" priority="3" operator="equal">
      <formula>$O$3</formula>
    </cfRule>
  </conditionalFormatting>
  <conditionalFormatting sqref="P15">
    <cfRule type="cellIs" dxfId="9" priority="2" operator="equal">
      <formula>$P$3</formula>
    </cfRule>
  </conditionalFormatting>
  <conditionalFormatting sqref="L2">
    <cfRule type="cellIs" dxfId="8" priority="1" operator="lessThan">
      <formula>EDATE($P$21,-18)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2024-02-26T00:03:16Z</dcterms:modified>
</cp:coreProperties>
</file>