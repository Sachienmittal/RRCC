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Records\"/>
    </mc:Choice>
  </mc:AlternateContent>
  <xr:revisionPtr revIDLastSave="0" documentId="13_ncr:1_{E8049E78-7094-4CD4-ACF4-7E47627BB374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Ranking" sheetId="10" r:id="rId1"/>
    <sheet name="Sheet1" sheetId="1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8" i="10" l="1"/>
  <c r="L29" i="10"/>
  <c r="C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8" i="10"/>
  <c r="C19" i="10"/>
  <c r="C17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J32" i="10"/>
  <c r="J33" i="10"/>
  <c r="J34" i="10"/>
  <c r="J35" i="10"/>
  <c r="J15" i="10"/>
  <c r="G33" i="10"/>
  <c r="G34" i="10"/>
  <c r="G35" i="10"/>
  <c r="G15" i="10"/>
  <c r="J5" i="10"/>
  <c r="G5" i="10"/>
  <c r="J11" i="10"/>
  <c r="G11" i="10"/>
  <c r="P15" i="10"/>
  <c r="J33" i="12"/>
  <c r="G33" i="12"/>
  <c r="C33" i="12"/>
  <c r="J32" i="12"/>
  <c r="G32" i="12"/>
  <c r="C32" i="12"/>
  <c r="J31" i="12"/>
  <c r="G31" i="12"/>
  <c r="C31" i="12"/>
  <c r="J30" i="12"/>
  <c r="G30" i="12"/>
  <c r="C30" i="12"/>
  <c r="J29" i="12"/>
  <c r="G29" i="12"/>
  <c r="C29" i="12"/>
  <c r="J28" i="12"/>
  <c r="G28" i="12"/>
  <c r="C28" i="12"/>
  <c r="J27" i="12"/>
  <c r="G27" i="12"/>
  <c r="C27" i="12"/>
  <c r="J26" i="12"/>
  <c r="G26" i="12"/>
  <c r="C26" i="12"/>
  <c r="J25" i="12"/>
  <c r="G25" i="12"/>
  <c r="C25" i="12"/>
  <c r="J24" i="12"/>
  <c r="G24" i="12"/>
  <c r="C24" i="12"/>
  <c r="J23" i="12"/>
  <c r="G23" i="12"/>
  <c r="C23" i="12"/>
  <c r="J22" i="12"/>
  <c r="G22" i="12"/>
  <c r="C22" i="12"/>
  <c r="J21" i="12"/>
  <c r="G21" i="12"/>
  <c r="C21" i="12"/>
  <c r="J20" i="12"/>
  <c r="G20" i="12"/>
  <c r="C20" i="12"/>
  <c r="J19" i="12"/>
  <c r="G19" i="12"/>
  <c r="C19" i="12"/>
  <c r="J18" i="12"/>
  <c r="G18" i="12"/>
  <c r="C18" i="12"/>
  <c r="J17" i="12"/>
  <c r="G17" i="12"/>
  <c r="C17" i="12"/>
  <c r="J16" i="12"/>
  <c r="G16" i="12"/>
  <c r="C16" i="12"/>
  <c r="J15" i="12"/>
  <c r="G15" i="12"/>
  <c r="C15" i="12"/>
  <c r="J14" i="12"/>
  <c r="G14" i="12"/>
  <c r="C14" i="12"/>
  <c r="J13" i="12"/>
  <c r="G13" i="12"/>
  <c r="C13" i="12"/>
  <c r="J12" i="12"/>
  <c r="G12" i="12"/>
  <c r="C12" i="12"/>
  <c r="J11" i="12"/>
  <c r="G11" i="12"/>
  <c r="C11" i="12"/>
  <c r="J10" i="12"/>
  <c r="G10" i="12"/>
  <c r="C10" i="12"/>
  <c r="J9" i="12"/>
  <c r="G9" i="12"/>
  <c r="C9" i="12"/>
  <c r="J8" i="12"/>
  <c r="G8" i="12"/>
  <c r="C8" i="12"/>
  <c r="J7" i="12"/>
  <c r="G7" i="12"/>
  <c r="C7" i="12"/>
  <c r="J6" i="12"/>
  <c r="G6" i="12"/>
  <c r="C6" i="12"/>
  <c r="J5" i="12"/>
  <c r="G5" i="12"/>
  <c r="C5" i="12"/>
  <c r="J4" i="12"/>
  <c r="G4" i="12"/>
  <c r="C4" i="12"/>
  <c r="J3" i="12"/>
  <c r="G3" i="12"/>
  <c r="C3" i="12"/>
  <c r="J2" i="12"/>
  <c r="G2" i="12"/>
  <c r="C2" i="12"/>
  <c r="G2" i="10"/>
  <c r="J2" i="10"/>
  <c r="G3" i="10"/>
  <c r="J3" i="10"/>
  <c r="G4" i="10"/>
  <c r="J4" i="10"/>
  <c r="G10" i="10"/>
  <c r="J10" i="10"/>
  <c r="G6" i="10"/>
  <c r="J6" i="10"/>
  <c r="G7" i="10"/>
  <c r="J7" i="10"/>
  <c r="G9" i="10"/>
  <c r="J9" i="10"/>
  <c r="G12" i="10"/>
  <c r="J12" i="10"/>
  <c r="G13" i="10"/>
  <c r="J13" i="10"/>
  <c r="G16" i="10"/>
  <c r="J16" i="10"/>
  <c r="G8" i="10"/>
  <c r="J8" i="10"/>
  <c r="G14" i="10"/>
  <c r="J14" i="10"/>
  <c r="G19" i="10"/>
  <c r="J19" i="10"/>
  <c r="G20" i="10"/>
  <c r="J20" i="10"/>
  <c r="G18" i="10"/>
  <c r="J18" i="10"/>
  <c r="G17" i="10"/>
  <c r="J17" i="10"/>
  <c r="G21" i="10"/>
  <c r="J21" i="10"/>
  <c r="G22" i="10"/>
  <c r="J22" i="10"/>
  <c r="G23" i="10"/>
  <c r="J23" i="10"/>
  <c r="G27" i="10"/>
  <c r="J27" i="10"/>
  <c r="G24" i="10"/>
  <c r="J24" i="10"/>
  <c r="G28" i="10"/>
  <c r="J28" i="10"/>
  <c r="G29" i="10"/>
  <c r="J29" i="10"/>
  <c r="G26" i="10"/>
  <c r="J26" i="10"/>
  <c r="G30" i="10"/>
  <c r="J30" i="10"/>
  <c r="G31" i="10"/>
  <c r="J31" i="10"/>
  <c r="G25" i="10"/>
  <c r="J25" i="10"/>
  <c r="G32" i="10"/>
  <c r="O15" i="10"/>
  <c r="P21" i="10"/>
  <c r="R3" i="10" l="1"/>
  <c r="S3" i="10"/>
  <c r="T3" i="10" l="1"/>
  <c r="U3" i="10" l="1"/>
  <c r="W3" i="10" s="1"/>
  <c r="V3" i="10" l="1"/>
  <c r="O4" i="10" l="1"/>
  <c r="P4" i="10"/>
</calcChain>
</file>

<file path=xl/sharedStrings.xml><?xml version="1.0" encoding="utf-8"?>
<sst xmlns="http://schemas.openxmlformats.org/spreadsheetml/2006/main" count="113" uniqueCount="66">
  <si>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</si>
  <si>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</si>
  <si>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</si>
  <si>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</si>
  <si>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</si>
  <si>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</si>
  <si>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</si>
  <si>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</si>
  <si>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</si>
  <si>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</si>
  <si>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</si>
  <si>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</si>
  <si>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</si>
  <si>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</si>
  <si>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</si>
  <si>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</si>
  <si>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</si>
  <si>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</si>
  <si>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</si>
  <si>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</si>
  <si>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</si>
  <si>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</si>
  <si>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</si>
  <si>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</si>
  <si>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</si>
  <si>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</si>
  <si>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</si>
  <si>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</si>
  <si>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</si>
  <si>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</si>
  <si>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</si>
  <si>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</si>
  <si>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</si>
  <si>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</si>
  <si>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</si>
  <si>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</si>
  <si>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</si>
  <si>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</si>
  <si>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</si>
  <si>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</si>
  <si>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</si>
  <si>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</si>
  <si>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</si>
  <si>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</si>
  <si>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</si>
  <si>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</si>
  <si>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</si>
  <si>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</si>
  <si>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</si>
  <si>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</si>
  <si>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</si>
  <si>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</si>
  <si>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</si>
  <si>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</si>
  <si>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</si>
  <si>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</si>
  <si>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</si>
  <si>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</si>
  <si>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</si>
  <si>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</si>
  <si>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</si>
  <si>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Stunners</t>
  </si>
  <si>
    <t>Kryptonites</t>
  </si>
  <si>
    <t>Nightmares</t>
  </si>
  <si>
    <t>RRR</t>
  </si>
  <si>
    <t>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</si>
</sst>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10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theme="2"/>
      <name val="Aptos"/>
      <family val="2"/>
    </font>
    <font>
      <b/>
      <sz val="11"/>
      <color theme="2"/>
      <name val="Calibri"/>
      <family val="2"/>
      <scheme val="minor"/>
    </font>
    <font>
      <b/>
      <u/>
      <sz val="11"/>
      <color theme="2"/>
      <name val="Calibri"/>
      <family val="2"/>
      <scheme val="minor"/>
    </font>
    <font>
      <b/>
      <sz val="10"/>
      <color rgb="FF0033CC"/>
      <name val="Aptos"/>
      <family val="2"/>
    </font>
    <font>
      <b/>
      <sz val="10"/>
      <color rgb="FFFFFFCC"/>
      <name val="Aptos"/>
      <family val="2"/>
    </font>
    <font>
      <b/>
      <u/>
      <sz val="12"/>
      <color rgb="FFFFFF00"/>
      <name val="Calibri"/>
      <family val="2"/>
      <scheme val="minor"/>
    </font>
  </fonts>
  <fills count="30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FA0300"/>
        <bgColor indexed="64"/>
      </patternFill>
    </fill>
    <fill>
      <patternFill patternType="solid">
        <fgColor rgb="FFFE0000"/>
        <bgColor indexed="64"/>
      </patternFill>
    </fill>
    <fill>
      <patternFill patternType="solid">
        <fgColor rgb="FFFA2800"/>
        <bgColor indexed="64"/>
      </patternFill>
    </fill>
    <fill>
      <patternFill patternType="solid">
        <fgColor rgb="FFFA2000"/>
        <bgColor indexed="64"/>
      </patternFill>
    </fill>
    <fill>
      <patternFill patternType="solid">
        <fgColor rgb="FFFE3300"/>
        <bgColor indexed="64"/>
      </patternFill>
    </fill>
    <fill>
      <patternFill patternType="solid">
        <fgColor rgb="FFFE2600"/>
        <bgColor indexed="64"/>
      </patternFill>
    </fill>
    <fill>
      <patternFill patternType="solid">
        <fgColor rgb="FFFE1E00"/>
        <bgColor indexed="64"/>
      </patternFill>
    </fill>
    <fill>
      <patternFill patternType="solid">
        <fgColor rgb="FFFE1500"/>
        <bgColor indexed="64"/>
      </patternFill>
    </fill>
    <fill>
      <patternFill patternType="solid">
        <fgColor rgb="FFFE0600"/>
        <bgColor indexed="64"/>
      </patternFill>
    </fill>
    <fill>
      <patternFill patternType="solid">
        <fgColor rgb="FFFE0100"/>
        <bgColor indexed="64"/>
      </patternFill>
    </fill>
    <fill>
      <patternFill patternType="solid">
        <fgColor rgb="FFFF3100"/>
        <bgColor indexed="64"/>
      </patternFill>
    </fill>
    <fill>
      <patternFill patternType="solid">
        <fgColor rgb="FFFF2600"/>
        <bgColor indexed="64"/>
      </patternFill>
    </fill>
    <fill>
      <patternFill patternType="solid">
        <fgColor rgb="FFFF1D00"/>
        <bgColor indexed="64"/>
      </patternFill>
    </fill>
    <fill>
      <patternFill patternType="solid">
        <fgColor rgb="FFFF1500"/>
        <bgColor indexed="64"/>
      </patternFill>
    </fill>
    <fill>
      <patternFill patternType="solid">
        <fgColor rgb="FFFF0C00"/>
        <bgColor indexed="64"/>
      </patternFill>
    </fill>
    <fill>
      <patternFill patternType="solid">
        <fgColor rgb="FFFF0500"/>
        <bgColor indexed="64"/>
      </patternFill>
    </fill>
    <fill>
      <patternFill patternType="solid">
        <fgColor rgb="FFFF0100"/>
        <bgColor indexed="64"/>
      </patternFill>
    </fill>
    <fill>
      <patternFill patternType="solid">
        <fgColor rgb="FF31C831"/>
        <bgColor indexed="64"/>
      </patternFill>
    </fill>
    <fill>
      <patternFill patternType="solid">
        <fgColor rgb="FF26B226"/>
        <bgColor indexed="64"/>
      </patternFill>
    </fill>
    <fill>
      <patternFill patternType="solid">
        <fgColor rgb="FF1DA11D"/>
        <bgColor indexed="64"/>
      </patternFill>
    </fill>
    <fill>
      <patternFill patternType="solid">
        <fgColor rgb="FF159015"/>
        <bgColor indexed="64"/>
      </patternFill>
    </fill>
    <fill>
      <patternFill patternType="solid">
        <fgColor rgb="FF0C7F0C"/>
        <bgColor indexed="64"/>
      </patternFill>
    </fill>
    <fill>
      <patternFill patternType="solid">
        <fgColor rgb="FF057105"/>
        <bgColor indexed="64"/>
      </patternFill>
    </fill>
    <fill>
      <patternFill patternType="solid">
        <fgColor rgb="FF016901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CB32"/>
        <bgColor indexed="64"/>
      </patternFill>
    </fill>
    <fill>
      <patternFill patternType="solid">
        <fgColor rgb="FF1EA11D"/>
        <bgColor indexed="64"/>
      </patternFill>
    </fill>
    <fill>
      <patternFill patternType="solid">
        <fgColor rgb="FF158F15"/>
        <bgColor indexed="64"/>
      </patternFill>
    </fill>
    <fill>
      <patternFill patternType="solid">
        <fgColor rgb="FF0D7F0C"/>
        <bgColor indexed="64"/>
      </patternFill>
    </fill>
    <fill>
      <patternFill patternType="solid">
        <fgColor rgb="FF067105"/>
        <bgColor indexed="64"/>
      </patternFill>
    </fill>
    <fill>
      <patternFill patternType="solid">
        <fgColor rgb="FF026801"/>
        <bgColor indexed="64"/>
      </patternFill>
    </fill>
    <fill>
      <patternFill patternType="solid">
        <fgColor rgb="FF006500"/>
        <bgColor indexed="64"/>
      </patternFill>
    </fill>
    <fill>
      <patternFill patternType="solid">
        <fgColor rgb="FF34CA32"/>
        <bgColor indexed="64"/>
      </patternFill>
    </fill>
    <fill>
      <patternFill patternType="solid">
        <fgColor rgb="FF28B125"/>
        <bgColor indexed="64"/>
      </patternFill>
    </fill>
    <fill>
      <patternFill patternType="solid">
        <fgColor rgb="FF1FA01D"/>
        <bgColor indexed="64"/>
      </patternFill>
    </fill>
    <fill>
      <patternFill patternType="solid">
        <fgColor rgb="FF178F14"/>
        <bgColor indexed="64"/>
      </patternFill>
    </fill>
    <fill>
      <patternFill patternType="solid">
        <fgColor rgb="FF0E7E0C"/>
        <bgColor indexed="64"/>
      </patternFill>
    </fill>
    <fill>
      <patternFill patternType="solid">
        <fgColor rgb="FF087105"/>
        <bgColor indexed="64"/>
      </patternFill>
    </fill>
    <fill>
      <patternFill patternType="solid">
        <fgColor rgb="FF036801"/>
        <bgColor indexed="64"/>
      </patternFill>
    </fill>
    <fill>
      <patternFill patternType="solid">
        <fgColor rgb="FF026500"/>
        <bgColor indexed="64"/>
      </patternFill>
    </fill>
    <fill>
      <patternFill patternType="solid">
        <fgColor rgb="FF36C932"/>
        <bgColor indexed="64"/>
      </patternFill>
    </fill>
    <fill>
      <patternFill patternType="solid">
        <fgColor rgb="FF2AAF25"/>
        <bgColor indexed="64"/>
      </patternFill>
    </fill>
    <fill>
      <patternFill patternType="solid">
        <fgColor rgb="FF229F1D"/>
        <bgColor indexed="64"/>
      </patternFill>
    </fill>
    <fill>
      <patternFill patternType="solid">
        <fgColor rgb="FF198D14"/>
        <bgColor indexed="64"/>
      </patternFill>
    </fill>
    <fill>
      <patternFill patternType="solid">
        <fgColor rgb="FF117D0C"/>
        <bgColor indexed="64"/>
      </patternFill>
    </fill>
    <fill>
      <patternFill patternType="solid">
        <fgColor rgb="FF0A6F05"/>
        <bgColor indexed="64"/>
      </patternFill>
    </fill>
    <fill>
      <patternFill patternType="solid">
        <fgColor rgb="FF066701"/>
        <bgColor indexed="64"/>
      </patternFill>
    </fill>
    <fill>
      <patternFill patternType="solid">
        <fgColor rgb="FF046400"/>
        <bgColor indexed="64"/>
      </patternFill>
    </fill>
    <fill>
      <patternFill patternType="solid">
        <fgColor rgb="FF39C631"/>
        <bgColor indexed="64"/>
      </patternFill>
    </fill>
    <fill>
      <patternFill patternType="solid">
        <fgColor rgb="FF2DAD24"/>
        <bgColor indexed="64"/>
      </patternFill>
    </fill>
    <fill>
      <patternFill patternType="solid">
        <fgColor rgb="FF259D1C"/>
        <bgColor indexed="64"/>
      </patternFill>
    </fill>
    <fill>
      <patternFill patternType="solid">
        <fgColor rgb="FF1C8B14"/>
        <bgColor indexed="64"/>
      </patternFill>
    </fill>
    <fill>
      <patternFill patternType="solid">
        <fgColor rgb="FF147B0C"/>
        <bgColor indexed="64"/>
      </patternFill>
    </fill>
    <fill>
      <patternFill patternType="solid">
        <fgColor rgb="FF0E6E05"/>
        <bgColor indexed="64"/>
      </patternFill>
    </fill>
    <fill>
      <patternFill patternType="solid">
        <fgColor rgb="FF0A6501"/>
        <bgColor indexed="64"/>
      </patternFill>
    </fill>
    <fill>
      <patternFill patternType="solid">
        <fgColor rgb="FF086200"/>
        <bgColor indexed="64"/>
      </patternFill>
    </fill>
    <fill>
      <patternFill patternType="solid">
        <fgColor rgb="FF3DC330"/>
        <bgColor indexed="64"/>
      </patternFill>
    </fill>
    <fill>
      <patternFill patternType="solid">
        <fgColor rgb="FF31AB24"/>
        <bgColor indexed="64"/>
      </patternFill>
    </fill>
    <fill>
      <patternFill patternType="solid">
        <fgColor rgb="FF299A1C"/>
        <bgColor indexed="64"/>
      </patternFill>
    </fill>
    <fill>
      <patternFill patternType="solid">
        <fgColor rgb="FF218913"/>
        <bgColor indexed="64"/>
      </patternFill>
    </fill>
    <fill>
      <patternFill patternType="solid">
        <fgColor rgb="FF19790C"/>
        <bgColor indexed="64"/>
      </patternFill>
    </fill>
    <fill>
      <patternFill patternType="solid">
        <fgColor rgb="FF136C05"/>
        <bgColor indexed="64"/>
      </patternFill>
    </fill>
    <fill>
      <patternFill patternType="solid">
        <fgColor rgb="FF0E6301"/>
        <bgColor indexed="64"/>
      </patternFill>
    </fill>
    <fill>
      <patternFill patternType="solid">
        <fgColor rgb="FF0D6000"/>
        <bgColor indexed="64"/>
      </patternFill>
    </fill>
    <fill>
      <patternFill patternType="solid">
        <fgColor rgb="FF42C02F"/>
        <bgColor indexed="64"/>
      </patternFill>
    </fill>
    <fill>
      <patternFill patternType="solid">
        <fgColor rgb="FF36A723"/>
        <bgColor indexed="64"/>
      </patternFill>
    </fill>
    <fill>
      <patternFill patternType="solid">
        <fgColor rgb="FF2E971B"/>
        <bgColor indexed="64"/>
      </patternFill>
    </fill>
    <fill>
      <patternFill patternType="solid">
        <fgColor rgb="FF268613"/>
        <bgColor indexed="64"/>
      </patternFill>
    </fill>
    <fill>
      <patternFill patternType="solid">
        <fgColor rgb="FF1E760B"/>
        <bgColor indexed="64"/>
      </patternFill>
    </fill>
    <fill>
      <patternFill patternType="solid">
        <fgColor rgb="FF186905"/>
        <bgColor indexed="64"/>
      </patternFill>
    </fill>
    <fill>
      <patternFill patternType="solid">
        <fgColor rgb="FF146101"/>
        <bgColor indexed="64"/>
      </patternFill>
    </fill>
    <fill>
      <patternFill patternType="solid">
        <fgColor rgb="FF135E00"/>
        <bgColor indexed="64"/>
      </patternFill>
    </fill>
    <fill>
      <patternFill patternType="solid">
        <fgColor rgb="FF47BC2D"/>
        <bgColor indexed="64"/>
      </patternFill>
    </fill>
    <fill>
      <patternFill patternType="solid">
        <fgColor rgb="FF3CA422"/>
        <bgColor indexed="64"/>
      </patternFill>
    </fill>
    <fill>
      <patternFill patternType="solid">
        <fgColor rgb="FF34941A"/>
        <bgColor indexed="64"/>
      </patternFill>
    </fill>
    <fill>
      <patternFill patternType="solid">
        <fgColor rgb="FF2C8312"/>
        <bgColor indexed="64"/>
      </patternFill>
    </fill>
    <fill>
      <patternFill patternType="solid">
        <fgColor rgb="FF25730B"/>
        <bgColor indexed="64"/>
      </patternFill>
    </fill>
    <fill>
      <patternFill patternType="solid">
        <fgColor rgb="FF1F6705"/>
        <bgColor indexed="64"/>
      </patternFill>
    </fill>
    <fill>
      <patternFill patternType="solid">
        <fgColor rgb="FF1B5E01"/>
        <bgColor indexed="64"/>
      </patternFill>
    </fill>
    <fill>
      <patternFill patternType="solid">
        <fgColor rgb="FF195B00"/>
        <bgColor indexed="64"/>
      </patternFill>
    </fill>
    <fill>
      <patternFill patternType="solid">
        <fgColor rgb="FF4DB82C"/>
        <bgColor indexed="64"/>
      </patternFill>
    </fill>
    <fill>
      <patternFill patternType="solid">
        <fgColor rgb="FF42A021"/>
        <bgColor indexed="64"/>
      </patternFill>
    </fill>
    <fill>
      <patternFill patternType="solid">
        <fgColor rgb="FF3B901A"/>
        <bgColor indexed="64"/>
      </patternFill>
    </fill>
    <fill>
      <patternFill patternType="solid">
        <fgColor rgb="FF338012"/>
        <bgColor indexed="64"/>
      </patternFill>
    </fill>
    <fill>
      <patternFill patternType="solid">
        <fgColor rgb="FF2C700B"/>
        <bgColor indexed="64"/>
      </patternFill>
    </fill>
    <fill>
      <patternFill patternType="solid">
        <fgColor rgb="FF266305"/>
        <bgColor indexed="64"/>
      </patternFill>
    </fill>
    <fill>
      <patternFill patternType="solid">
        <fgColor rgb="FF225B01"/>
        <bgColor indexed="64"/>
      </patternFill>
    </fill>
    <fill>
      <patternFill patternType="solid">
        <fgColor rgb="FF215800"/>
        <bgColor indexed="64"/>
      </patternFill>
    </fill>
    <fill>
      <patternFill patternType="solid">
        <fgColor rgb="FF54B32A"/>
        <bgColor indexed="64"/>
      </patternFill>
    </fill>
    <fill>
      <patternFill patternType="solid">
        <fgColor rgb="FF499B20"/>
        <bgColor indexed="64"/>
      </patternFill>
    </fill>
    <fill>
      <patternFill patternType="solid">
        <fgColor rgb="FF428C19"/>
        <bgColor indexed="64"/>
      </patternFill>
    </fill>
    <fill>
      <patternFill patternType="solid">
        <fgColor rgb="FF3B7C11"/>
        <bgColor indexed="64"/>
      </patternFill>
    </fill>
    <fill>
      <patternFill patternType="solid">
        <fgColor rgb="FF346C0A"/>
        <bgColor indexed="64"/>
      </patternFill>
    </fill>
    <fill>
      <patternFill patternType="solid">
        <fgColor rgb="FF2E6004"/>
        <bgColor indexed="64"/>
      </patternFill>
    </fill>
    <fill>
      <patternFill patternType="solid">
        <fgColor rgb="FF2A5801"/>
        <bgColor indexed="64"/>
      </patternFill>
    </fill>
    <fill>
      <patternFill patternType="solid">
        <fgColor rgb="FF295500"/>
        <bgColor indexed="64"/>
      </patternFill>
    </fill>
    <fill>
      <patternFill patternType="solid">
        <fgColor rgb="FF5BAD28"/>
        <bgColor indexed="64"/>
      </patternFill>
    </fill>
    <fill>
      <patternFill patternType="solid">
        <fgColor rgb="FF51961E"/>
        <bgColor indexed="64"/>
      </patternFill>
    </fill>
    <fill>
      <patternFill patternType="solid">
        <fgColor rgb="FF4A8717"/>
        <bgColor indexed="64"/>
      </patternFill>
    </fill>
    <fill>
      <patternFill patternType="solid">
        <fgColor rgb="FF437710"/>
        <bgColor indexed="64"/>
      </patternFill>
    </fill>
    <fill>
      <patternFill patternType="solid">
        <fgColor rgb="FF3C680A"/>
        <bgColor indexed="64"/>
      </patternFill>
    </fill>
    <fill>
      <patternFill patternType="solid">
        <fgColor rgb="FF375C04"/>
        <bgColor indexed="64"/>
      </patternFill>
    </fill>
    <fill>
      <patternFill patternType="solid">
        <fgColor rgb="FF335401"/>
        <bgColor indexed="64"/>
      </patternFill>
    </fill>
    <fill>
      <patternFill patternType="solid">
        <fgColor rgb="FF325100"/>
        <bgColor indexed="64"/>
      </patternFill>
    </fill>
    <fill>
      <patternFill patternType="solid">
        <fgColor rgb="FF63A726"/>
        <bgColor indexed="64"/>
      </patternFill>
    </fill>
    <fill>
      <patternFill patternType="solid">
        <fgColor rgb="FF59911D"/>
        <bgColor indexed="64"/>
      </patternFill>
    </fill>
    <fill>
      <patternFill patternType="solid">
        <fgColor rgb="FF538216"/>
        <bgColor indexed="64"/>
      </patternFill>
    </fill>
    <fill>
      <patternFill patternType="solid">
        <fgColor rgb="FF4C7310"/>
        <bgColor indexed="64"/>
      </patternFill>
    </fill>
    <fill>
      <patternFill patternType="solid">
        <fgColor rgb="FF466409"/>
        <bgColor indexed="64"/>
      </patternFill>
    </fill>
    <fill>
      <patternFill patternType="solid">
        <fgColor rgb="FF405804"/>
        <bgColor indexed="64"/>
      </patternFill>
    </fill>
    <fill>
      <patternFill patternType="solid">
        <fgColor rgb="FF3D5001"/>
        <bgColor indexed="64"/>
      </patternFill>
    </fill>
    <fill>
      <patternFill patternType="solid">
        <fgColor rgb="FF3C4D00"/>
        <bgColor indexed="64"/>
      </patternFill>
    </fill>
    <fill>
      <patternFill patternType="solid">
        <fgColor rgb="FF6BA124"/>
        <bgColor indexed="64"/>
      </patternFill>
    </fill>
    <fill>
      <patternFill patternType="solid">
        <fgColor rgb="FF628B1B"/>
        <bgColor indexed="64"/>
      </patternFill>
    </fill>
    <fill>
      <patternFill patternType="solid">
        <fgColor rgb="FF5C7D15"/>
        <bgColor indexed="64"/>
      </patternFill>
    </fill>
    <fill>
      <patternFill patternType="solid">
        <fgColor rgb="FF556E0F"/>
        <bgColor indexed="64"/>
      </patternFill>
    </fill>
    <fill>
      <patternFill patternType="solid">
        <fgColor rgb="FF4F5F09"/>
        <bgColor indexed="64"/>
      </patternFill>
    </fill>
    <fill>
      <patternFill patternType="solid">
        <fgColor rgb="FF4A5404"/>
        <bgColor indexed="64"/>
      </patternFill>
    </fill>
    <fill>
      <patternFill patternType="solid">
        <fgColor rgb="FF474C01"/>
        <bgColor indexed="64"/>
      </patternFill>
    </fill>
    <fill>
      <patternFill patternType="solid">
        <fgColor rgb="FF464900"/>
        <bgColor indexed="64"/>
      </patternFill>
    </fill>
    <fill>
      <patternFill patternType="solid">
        <fgColor rgb="FF749B22"/>
        <bgColor indexed="64"/>
      </patternFill>
    </fill>
    <fill>
      <patternFill patternType="solid">
        <fgColor rgb="FF6B851A"/>
        <bgColor indexed="64"/>
      </patternFill>
    </fill>
    <fill>
      <patternFill patternType="solid">
        <fgColor rgb="FF657714"/>
        <bgColor indexed="64"/>
      </patternFill>
    </fill>
    <fill>
      <patternFill patternType="solid">
        <fgColor rgb="FF5F680E"/>
        <bgColor indexed="64"/>
      </patternFill>
    </fill>
    <fill>
      <patternFill patternType="solid">
        <fgColor rgb="FF5A5A08"/>
        <bgColor indexed="64"/>
      </patternFill>
    </fill>
    <fill>
      <patternFill patternType="solid">
        <fgColor rgb="FF554F04"/>
        <bgColor indexed="64"/>
      </patternFill>
    </fill>
    <fill>
      <patternFill patternType="solid">
        <fgColor rgb="FF524801"/>
        <bgColor indexed="64"/>
      </patternFill>
    </fill>
    <fill>
      <patternFill patternType="solid">
        <fgColor rgb="FF514500"/>
        <bgColor indexed="64"/>
      </patternFill>
    </fill>
    <fill>
      <patternFill patternType="solid">
        <fgColor rgb="FF7D9420"/>
        <bgColor indexed="64"/>
      </patternFill>
    </fill>
    <fill>
      <patternFill patternType="solid">
        <fgColor rgb="FF747F18"/>
        <bgColor indexed="64"/>
      </patternFill>
    </fill>
    <fill>
      <patternFill patternType="solid">
        <fgColor rgb="FF6F7113"/>
        <bgColor indexed="64"/>
      </patternFill>
    </fill>
    <fill>
      <patternFill patternType="solid">
        <fgColor rgb="FF6A630D"/>
        <bgColor indexed="64"/>
      </patternFill>
    </fill>
    <fill>
      <patternFill patternType="solid">
        <fgColor rgb="FF645508"/>
        <bgColor indexed="64"/>
      </patternFill>
    </fill>
    <fill>
      <patternFill patternType="solid">
        <fgColor rgb="FF604A03"/>
        <bgColor indexed="64"/>
      </patternFill>
    </fill>
    <fill>
      <patternFill patternType="solid">
        <fgColor rgb="FF5D4300"/>
        <bgColor indexed="64"/>
      </patternFill>
    </fill>
    <fill>
      <patternFill patternType="solid">
        <fgColor rgb="FF5C4000"/>
        <bgColor indexed="64"/>
      </patternFill>
    </fill>
    <fill>
      <patternFill patternType="solid">
        <fgColor rgb="FF868D1E"/>
        <bgColor indexed="64"/>
      </patternFill>
    </fill>
    <fill>
      <patternFill patternType="solid">
        <fgColor rgb="FF7E7916"/>
        <bgColor indexed="64"/>
      </patternFill>
    </fill>
    <fill>
      <patternFill patternType="solid">
        <fgColor rgb="FF796C11"/>
        <bgColor indexed="64"/>
      </patternFill>
    </fill>
    <fill>
      <patternFill patternType="solid">
        <fgColor rgb="FF745D0C"/>
        <bgColor indexed="64"/>
      </patternFill>
    </fill>
    <fill>
      <patternFill patternType="solid">
        <fgColor rgb="FF6F5007"/>
        <bgColor indexed="64"/>
      </patternFill>
    </fill>
    <fill>
      <patternFill patternType="solid">
        <fgColor rgb="FF6B4503"/>
        <bgColor indexed="64"/>
      </patternFill>
    </fill>
    <fill>
      <patternFill patternType="solid">
        <fgColor rgb="FF683E00"/>
        <bgColor indexed="64"/>
      </patternFill>
    </fill>
    <fill>
      <patternFill patternType="solid">
        <fgColor rgb="FF683C00"/>
        <bgColor indexed="64"/>
      </patternFill>
    </fill>
    <fill>
      <patternFill patternType="solid">
        <fgColor rgb="FF8F861B"/>
        <bgColor indexed="64"/>
      </patternFill>
    </fill>
    <fill>
      <patternFill patternType="solid">
        <fgColor rgb="FF887214"/>
        <bgColor indexed="64"/>
      </patternFill>
    </fill>
    <fill>
      <patternFill patternType="solid">
        <fgColor rgb="FF846510"/>
        <bgColor indexed="64"/>
      </patternFill>
    </fill>
    <fill>
      <patternFill patternType="solid">
        <fgColor rgb="FF7F580B"/>
        <bgColor indexed="64"/>
      </patternFill>
    </fill>
    <fill>
      <patternFill patternType="solid">
        <fgColor rgb="FF7A4B06"/>
        <bgColor indexed="64"/>
      </patternFill>
    </fill>
    <fill>
      <patternFill patternType="solid">
        <fgColor rgb="FF764003"/>
        <bgColor indexed="64"/>
      </patternFill>
    </fill>
    <fill>
      <patternFill patternType="solid">
        <fgColor rgb="FF743A00"/>
        <bgColor indexed="64"/>
      </patternFill>
    </fill>
    <fill>
      <patternFill patternType="solid">
        <fgColor rgb="FF733700"/>
        <bgColor indexed="64"/>
      </patternFill>
    </fill>
    <fill>
      <patternFill patternType="solid">
        <fgColor rgb="FF997F19"/>
        <bgColor indexed="64"/>
      </patternFill>
    </fill>
    <fill>
      <patternFill patternType="solid">
        <fgColor rgb="FF926C13"/>
        <bgColor indexed="64"/>
      </patternFill>
    </fill>
    <fill>
      <patternFill patternType="solid">
        <fgColor rgb="FF8E5F0E"/>
        <bgColor indexed="64"/>
      </patternFill>
    </fill>
    <fill>
      <patternFill patternType="solid">
        <fgColor rgb="FF8A520A"/>
        <bgColor indexed="64"/>
      </patternFill>
    </fill>
    <fill>
      <patternFill patternType="solid">
        <fgColor rgb="FF854606"/>
        <bgColor indexed="64"/>
      </patternFill>
    </fill>
    <fill>
      <patternFill patternType="solid">
        <fgColor rgb="FF823B02"/>
        <bgColor indexed="64"/>
      </patternFill>
    </fill>
    <fill>
      <patternFill patternType="solid">
        <fgColor rgb="FF803500"/>
        <bgColor indexed="64"/>
      </patternFill>
    </fill>
    <fill>
      <patternFill patternType="solid">
        <fgColor rgb="FF7F3300"/>
        <bgColor indexed="64"/>
      </patternFill>
    </fill>
    <fill>
      <patternFill patternType="solid">
        <fgColor rgb="FFA27817"/>
        <bgColor indexed="64"/>
      </patternFill>
    </fill>
    <fill>
      <patternFill patternType="solid">
        <fgColor rgb="FF9C6511"/>
        <bgColor indexed="64"/>
      </patternFill>
    </fill>
    <fill>
      <patternFill patternType="solid">
        <fgColor rgb="FF98590D"/>
        <bgColor indexed="64"/>
      </patternFill>
    </fill>
    <fill>
      <patternFill patternType="solid">
        <fgColor rgb="FF944C09"/>
        <bgColor indexed="64"/>
      </patternFill>
    </fill>
    <fill>
      <patternFill patternType="solid">
        <fgColor rgb="FF914005"/>
        <bgColor indexed="64"/>
      </patternFill>
    </fill>
    <fill>
      <patternFill patternType="solid">
        <fgColor rgb="FF8D3602"/>
        <bgColor indexed="64"/>
      </patternFill>
    </fill>
    <fill>
      <patternFill patternType="solid">
        <fgColor rgb="FF8B3000"/>
        <bgColor indexed="64"/>
      </patternFill>
    </fill>
    <fill>
      <patternFill patternType="solid">
        <fgColor rgb="FF8B2E00"/>
        <bgColor indexed="64"/>
      </patternFill>
    </fill>
    <fill>
      <patternFill patternType="solid">
        <fgColor rgb="FFAB7114"/>
        <bgColor indexed="64"/>
      </patternFill>
    </fill>
    <fill>
      <patternFill patternType="solid">
        <fgColor rgb="FFA65F0F"/>
        <bgColor indexed="64"/>
      </patternFill>
    </fill>
    <fill>
      <patternFill patternType="solid">
        <fgColor rgb="FFA3530C"/>
        <bgColor indexed="64"/>
      </patternFill>
    </fill>
    <fill>
      <patternFill patternType="solid">
        <fgColor rgb="FF9F4708"/>
        <bgColor indexed="64"/>
      </patternFill>
    </fill>
    <fill>
      <patternFill patternType="solid">
        <fgColor rgb="FF9C3B05"/>
        <bgColor indexed="64"/>
      </patternFill>
    </fill>
    <fill>
      <patternFill patternType="solid">
        <fgColor rgb="FF993202"/>
        <bgColor indexed="64"/>
      </patternFill>
    </fill>
    <fill>
      <patternFill patternType="solid">
        <fgColor rgb="FF972B00"/>
        <bgColor indexed="64"/>
      </patternFill>
    </fill>
    <fill>
      <patternFill patternType="solid">
        <fgColor rgb="FF962900"/>
        <bgColor indexed="64"/>
      </patternFill>
    </fill>
    <fill>
      <patternFill patternType="solid">
        <fgColor rgb="FFB46A12"/>
        <bgColor indexed="64"/>
      </patternFill>
    </fill>
    <fill>
      <patternFill patternType="solid">
        <fgColor rgb="FFB0590D"/>
        <bgColor indexed="64"/>
      </patternFill>
    </fill>
    <fill>
      <patternFill patternType="solid">
        <fgColor rgb="FFAD4D0A"/>
        <bgColor indexed="64"/>
      </patternFill>
    </fill>
    <fill>
      <patternFill patternType="solid">
        <fgColor rgb="FFAA4107"/>
        <bgColor indexed="64"/>
      </patternFill>
    </fill>
    <fill>
      <patternFill patternType="solid">
        <fgColor rgb="FFA73604"/>
        <bgColor indexed="64"/>
      </patternFill>
    </fill>
    <fill>
      <patternFill patternType="solid">
        <fgColor rgb="FFA42D02"/>
        <bgColor indexed="64"/>
      </patternFill>
    </fill>
    <fill>
      <patternFill patternType="solid">
        <fgColor rgb="FFA22700"/>
        <bgColor indexed="64"/>
      </patternFill>
    </fill>
    <fill>
      <patternFill patternType="solid">
        <fgColor rgb="FFA22500"/>
        <bgColor indexed="64"/>
      </patternFill>
    </fill>
    <fill>
      <patternFill patternType="solid">
        <fgColor rgb="FFBD6310"/>
        <bgColor indexed="64"/>
      </patternFill>
    </fill>
    <fill>
      <patternFill patternType="solid">
        <fgColor rgb="FFB9530C"/>
        <bgColor indexed="64"/>
      </patternFill>
    </fill>
    <fill>
      <patternFill patternType="solid">
        <fgColor rgb="FFB74809"/>
        <bgColor indexed="64"/>
      </patternFill>
    </fill>
    <fill>
      <patternFill patternType="solid">
        <fgColor rgb="FFB43C06"/>
        <bgColor indexed="64"/>
      </patternFill>
    </fill>
    <fill>
      <patternFill patternType="solid">
        <fgColor rgb="FFB13104"/>
        <bgColor indexed="64"/>
      </patternFill>
    </fill>
    <fill>
      <patternFill patternType="solid">
        <fgColor rgb="FFAF2801"/>
        <bgColor indexed="64"/>
      </patternFill>
    </fill>
    <fill>
      <patternFill patternType="solid">
        <fgColor rgb="FFAE2200"/>
        <bgColor indexed="64"/>
      </patternFill>
    </fill>
    <fill>
      <patternFill patternType="solid">
        <fgColor rgb="FFAD2000"/>
        <bgColor indexed="64"/>
      </patternFill>
    </fill>
    <fill>
      <patternFill patternType="solid">
        <fgColor rgb="FFC65D0E"/>
        <bgColor indexed="64"/>
      </patternFill>
    </fill>
    <fill>
      <patternFill patternType="solid">
        <fgColor rgb="FFC24D0A"/>
        <bgColor indexed="64"/>
      </patternFill>
    </fill>
    <fill>
      <patternFill patternType="solid">
        <fgColor rgb="FFC04208"/>
        <bgColor indexed="64"/>
      </patternFill>
    </fill>
    <fill>
      <patternFill patternType="solid">
        <fgColor rgb="FFBE3705"/>
        <bgColor indexed="64"/>
      </patternFill>
    </fill>
    <fill>
      <patternFill patternType="solid">
        <fgColor rgb="FFBB2C03"/>
        <bgColor indexed="64"/>
      </patternFill>
    </fill>
    <fill>
      <patternFill patternType="solid">
        <fgColor rgb="FFB92301"/>
        <bgColor indexed="64"/>
      </patternFill>
    </fill>
    <fill>
      <patternFill patternType="solid">
        <fgColor rgb="FFB81E00"/>
        <bgColor indexed="64"/>
      </patternFill>
    </fill>
    <fill>
      <patternFill patternType="solid">
        <fgColor rgb="FFB81C00"/>
        <bgColor indexed="64"/>
      </patternFill>
    </fill>
    <fill>
      <patternFill patternType="solid">
        <fgColor rgb="FFCE570C"/>
        <bgColor indexed="64"/>
      </patternFill>
    </fill>
    <fill>
      <patternFill patternType="solid">
        <fgColor rgb="FFCB4709"/>
        <bgColor indexed="64"/>
      </patternFill>
    </fill>
    <fill>
      <patternFill patternType="solid">
        <fgColor rgb="FFC93D07"/>
        <bgColor indexed="64"/>
      </patternFill>
    </fill>
    <fill>
      <patternFill patternType="solid">
        <fgColor rgb="FFC73204"/>
        <bgColor indexed="64"/>
      </patternFill>
    </fill>
    <fill>
      <patternFill patternType="solid">
        <fgColor rgb="FFC52703"/>
        <bgColor indexed="64"/>
      </patternFill>
    </fill>
    <fill>
      <patternFill patternType="solid">
        <fgColor rgb="FFC41F01"/>
        <bgColor indexed="64"/>
      </patternFill>
    </fill>
    <fill>
      <patternFill patternType="solid">
        <fgColor rgb="FFC21A00"/>
        <bgColor indexed="64"/>
      </patternFill>
    </fill>
    <fill>
      <patternFill patternType="solid">
        <fgColor rgb="FFC21800"/>
        <bgColor indexed="64"/>
      </patternFill>
    </fill>
    <fill>
      <patternFill patternType="solid">
        <fgColor rgb="FFD6510A"/>
        <bgColor indexed="64"/>
      </patternFill>
    </fill>
    <fill>
      <patternFill patternType="solid">
        <fgColor rgb="FFD34207"/>
        <bgColor indexed="64"/>
      </patternFill>
    </fill>
    <fill>
      <patternFill patternType="solid">
        <fgColor rgb="FFD23805"/>
        <bgColor indexed="64"/>
      </patternFill>
    </fill>
    <fill>
      <patternFill patternType="solid">
        <fgColor rgb="FFD02D04"/>
        <bgColor indexed="64"/>
      </patternFill>
    </fill>
    <fill>
      <patternFill patternType="solid">
        <fgColor rgb="FFCE2302"/>
        <bgColor indexed="64"/>
      </patternFill>
    </fill>
    <fill>
      <patternFill patternType="solid">
        <fgColor rgb="FFCD1B01"/>
        <bgColor indexed="64"/>
      </patternFill>
    </fill>
    <fill>
      <patternFill patternType="solid">
        <fgColor rgb="FFCC1600"/>
        <bgColor indexed="64"/>
      </patternFill>
    </fill>
    <fill>
      <patternFill patternType="solid">
        <fgColor rgb="FFCC1400"/>
        <bgColor indexed="64"/>
      </patternFill>
    </fill>
    <fill>
      <patternFill patternType="solid">
        <fgColor rgb="FFDD4B08"/>
        <bgColor indexed="64"/>
      </patternFill>
    </fill>
    <fill>
      <patternFill patternType="solid">
        <fgColor rgb="FFDB3D06"/>
        <bgColor indexed="64"/>
      </patternFill>
    </fill>
    <fill>
      <patternFill patternType="solid">
        <fgColor rgb="FFDA3304"/>
        <bgColor indexed="64"/>
      </patternFill>
    </fill>
    <fill>
      <patternFill patternType="solid">
        <fgColor rgb="FFD82903"/>
        <bgColor indexed="64"/>
      </patternFill>
    </fill>
    <fill>
      <patternFill patternType="solid">
        <fgColor rgb="FFD71F02"/>
        <bgColor indexed="64"/>
      </patternFill>
    </fill>
    <fill>
      <patternFill patternType="solid">
        <fgColor rgb="FFD61700"/>
        <bgColor indexed="64"/>
      </patternFill>
    </fill>
    <fill>
      <patternFill patternType="solid">
        <fgColor rgb="FFD51200"/>
        <bgColor indexed="64"/>
      </patternFill>
    </fill>
    <fill>
      <patternFill patternType="solid">
        <fgColor rgb="FFD51000"/>
        <bgColor indexed="64"/>
      </patternFill>
    </fill>
    <fill>
      <patternFill patternType="solid">
        <fgColor rgb="FFE44606"/>
        <bgColor indexed="64"/>
      </patternFill>
    </fill>
    <fill>
      <patternFill patternType="solid">
        <fgColor rgb="FFE23804"/>
        <bgColor indexed="64"/>
      </patternFill>
    </fill>
    <fill>
      <patternFill patternType="solid">
        <fgColor rgb="FFE12F03"/>
        <bgColor indexed="64"/>
      </patternFill>
    </fill>
    <fill>
      <patternFill patternType="solid">
        <fgColor rgb="FFE02502"/>
        <bgColor indexed="64"/>
      </patternFill>
    </fill>
    <fill>
      <patternFill patternType="solid">
        <fgColor rgb="FFDF1B01"/>
        <bgColor indexed="64"/>
      </patternFill>
    </fill>
    <fill>
      <patternFill patternType="solid">
        <fgColor rgb="FFDE1400"/>
        <bgColor indexed="64"/>
      </patternFill>
    </fill>
    <fill>
      <patternFill patternType="solid">
        <fgColor rgb="FFDD0F00"/>
        <bgColor indexed="64"/>
      </patternFill>
    </fill>
    <fill>
      <patternFill patternType="solid">
        <fgColor rgb="FFDD0D00"/>
        <bgColor indexed="64"/>
      </patternFill>
    </fill>
    <fill>
      <patternFill patternType="solid">
        <fgColor rgb="FFEA4205"/>
        <bgColor indexed="64"/>
      </patternFill>
    </fill>
    <fill>
      <patternFill patternType="solid">
        <fgColor rgb="FFE93403"/>
        <bgColor indexed="64"/>
      </patternFill>
    </fill>
    <fill>
      <patternFill patternType="solid">
        <fgColor rgb="FFE82B03"/>
        <bgColor indexed="64"/>
      </patternFill>
    </fill>
    <fill>
      <patternFill patternType="solid">
        <fgColor rgb="FFE72102"/>
        <bgColor indexed="64"/>
      </patternFill>
    </fill>
    <fill>
      <patternFill patternType="solid">
        <fgColor rgb="FFE61801"/>
        <bgColor indexed="64"/>
      </patternFill>
    </fill>
    <fill>
      <patternFill patternType="solid">
        <fgColor rgb="FFE51000"/>
        <bgColor indexed="64"/>
      </patternFill>
    </fill>
    <fill>
      <patternFill patternType="solid">
        <fgColor rgb="FFE50B00"/>
        <bgColor indexed="64"/>
      </patternFill>
    </fill>
    <fill>
      <patternFill patternType="solid">
        <fgColor rgb="FFE50A00"/>
        <bgColor indexed="64"/>
      </patternFill>
    </fill>
    <fill>
      <patternFill patternType="solid">
        <fgColor rgb="FFEF3E03"/>
        <bgColor indexed="64"/>
      </patternFill>
    </fill>
    <fill>
      <patternFill patternType="solid">
        <fgColor rgb="FFEE3002"/>
        <bgColor indexed="64"/>
      </patternFill>
    </fill>
    <fill>
      <patternFill patternType="solid">
        <fgColor rgb="FFEE2702"/>
        <bgColor indexed="64"/>
      </patternFill>
    </fill>
    <fill>
      <patternFill patternType="solid">
        <fgColor rgb="FFED1E01"/>
        <bgColor indexed="64"/>
      </patternFill>
    </fill>
    <fill>
      <patternFill patternType="solid">
        <fgColor rgb="FFEC1500"/>
        <bgColor indexed="64"/>
      </patternFill>
    </fill>
    <fill>
      <patternFill patternType="solid">
        <fgColor rgb="FFEC0E00"/>
        <bgColor indexed="64"/>
      </patternFill>
    </fill>
    <fill>
      <patternFill patternType="solid">
        <fgColor rgb="FFEC0900"/>
        <bgColor indexed="64"/>
      </patternFill>
    </fill>
    <fill>
      <patternFill patternType="solid">
        <fgColor rgb="FFEB0700"/>
        <bgColor indexed="64"/>
      </patternFill>
    </fill>
    <fill>
      <patternFill patternType="solid">
        <fgColor rgb="FFF43B02"/>
        <bgColor indexed="64"/>
      </patternFill>
    </fill>
    <fill>
      <patternFill patternType="solid">
        <fgColor rgb="FFF32D02"/>
        <bgColor indexed="64"/>
      </patternFill>
    </fill>
    <fill>
      <patternFill patternType="solid">
        <fgColor rgb="FFF32401"/>
        <bgColor indexed="64"/>
      </patternFill>
    </fill>
    <fill>
      <patternFill patternType="solid">
        <fgColor rgb="FFF21B01"/>
        <bgColor indexed="64"/>
      </patternFill>
    </fill>
    <fill>
      <patternFill patternType="solid">
        <fgColor rgb="FFF21200"/>
        <bgColor indexed="64"/>
      </patternFill>
    </fill>
    <fill>
      <patternFill patternType="solid">
        <fgColor rgb="FFF10B00"/>
        <bgColor indexed="64"/>
      </patternFill>
    </fill>
    <fill>
      <patternFill patternType="solid">
        <fgColor rgb="FFF10600"/>
        <bgColor indexed="64"/>
      </patternFill>
    </fill>
    <fill>
      <patternFill patternType="solid">
        <fgColor rgb="FFF10500"/>
        <bgColor indexed="64"/>
      </patternFill>
    </fill>
    <fill>
      <patternFill patternType="solid">
        <fgColor rgb="FFF83801"/>
        <bgColor indexed="64"/>
      </patternFill>
    </fill>
    <fill>
      <patternFill patternType="solid">
        <fgColor rgb="FFF72A01"/>
        <bgColor indexed="64"/>
      </patternFill>
    </fill>
    <fill>
      <patternFill patternType="solid">
        <fgColor rgb="FFF72201"/>
        <bgColor indexed="64"/>
      </patternFill>
    </fill>
    <fill>
      <patternFill patternType="solid">
        <fgColor rgb="FFF71900"/>
        <bgColor indexed="64"/>
      </patternFill>
    </fill>
    <fill>
      <patternFill patternType="solid">
        <fgColor rgb="FFF61000"/>
        <bgColor indexed="64"/>
      </patternFill>
    </fill>
    <fill>
      <patternFill patternType="solid">
        <fgColor rgb="FFF60900"/>
        <bgColor indexed="64"/>
      </patternFill>
    </fill>
    <fill>
      <patternFill patternType="solid">
        <fgColor rgb="FFF60500"/>
        <bgColor indexed="64"/>
      </patternFill>
    </fill>
    <fill>
      <patternFill patternType="solid">
        <fgColor rgb="FFF60300"/>
        <bgColor indexed="64"/>
      </patternFill>
    </fill>
    <fill>
      <patternFill patternType="solid">
        <fgColor rgb="FFFB3500"/>
        <bgColor indexed="64"/>
      </patternFill>
    </fill>
    <fill>
      <patternFill patternType="solid">
        <fgColor rgb="FFFA1700"/>
        <bgColor indexed="64"/>
      </patternFill>
    </fill>
    <fill>
      <patternFill patternType="solid">
        <fgColor rgb="FFFA0E00"/>
        <bgColor indexed="64"/>
      </patternFill>
    </fill>
    <fill>
      <patternFill patternType="solid">
        <fgColor rgb="FFFA0800"/>
        <bgColor indexed="64"/>
      </patternFill>
    </fill>
    <fill>
      <patternFill patternType="solid">
        <fgColor rgb="FFFA0100"/>
        <bgColor indexed="64"/>
      </patternFill>
    </fill>
    <fill>
      <patternFill patternType="solid">
        <fgColor rgb="FFFD3400"/>
        <bgColor indexed="64"/>
      </patternFill>
    </fill>
    <fill>
      <patternFill patternType="solid">
        <fgColor rgb="FFFD2700"/>
        <bgColor indexed="64"/>
      </patternFill>
    </fill>
    <fill>
      <patternFill patternType="solid">
        <fgColor rgb="FFFD1F00"/>
        <bgColor indexed="64"/>
      </patternFill>
    </fill>
    <fill>
      <patternFill patternType="solid">
        <fgColor rgb="FFFD1600"/>
        <bgColor indexed="64"/>
      </patternFill>
    </fill>
    <fill>
      <patternFill patternType="solid">
        <fgColor rgb="FFFC0D00"/>
        <bgColor indexed="64"/>
      </patternFill>
    </fill>
    <fill>
      <patternFill patternType="solid">
        <fgColor rgb="FFFC0600"/>
        <bgColor indexed="64"/>
      </patternFill>
    </fill>
    <fill>
      <patternFill patternType="solid">
        <fgColor rgb="FFFC0200"/>
        <bgColor indexed="64"/>
      </patternFill>
    </fill>
    <fill>
      <patternFill patternType="solid">
        <fgColor rgb="FFFC0000"/>
        <bgColor indexed="64"/>
      </patternFill>
    </fill>
    <fill>
      <patternFill patternType="solid">
        <fgColor rgb="FFFE0C00"/>
        <bgColor indexed="64"/>
      </patternFill>
    </fill>
    <fill>
      <patternFill patternType="darkTrellis">
        <bgColor theme="9" tint="0.39991454817346722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24">
    <xf numFmtId="0" fontId="0" fillId="0" borderId="0" xfId="0"/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2" fillId="7" borderId="0" xfId="0" applyFont="1" applyFill="1"/>
    <xf numFmtId="0" fontId="1" fillId="8" borderId="0" xfId="0" applyFont="1" applyFill="1" applyAlignment="1">
      <alignment horizontal="center" vertical="center"/>
    </xf>
    <xf numFmtId="2" fontId="2" fillId="8" borderId="0" xfId="0" applyNumberFormat="1" applyFont="1" applyFill="1"/>
    <xf numFmtId="0" fontId="2" fillId="6" borderId="0" xfId="0" applyFont="1" applyFill="1"/>
    <xf numFmtId="0" fontId="1" fillId="6" borderId="0" xfId="0" applyFont="1" applyFill="1" applyAlignment="1">
      <alignment horizontal="center" vertical="center"/>
    </xf>
    <xf numFmtId="165" fontId="2" fillId="6" borderId="0" xfId="0" applyNumberFormat="1" applyFont="1" applyFill="1"/>
    <xf numFmtId="2" fontId="2" fillId="6" borderId="0" xfId="0" applyNumberFormat="1" applyFont="1" applyFill="1"/>
    <xf numFmtId="0" fontId="2" fillId="9" borderId="0" xfId="0" applyFont="1" applyFill="1"/>
    <xf numFmtId="0" fontId="2" fillId="10" borderId="0" xfId="0" applyFont="1" applyFill="1"/>
    <xf numFmtId="0" fontId="2" fillId="11" borderId="0" xfId="0" applyFont="1" applyFill="1"/>
    <xf numFmtId="0" fontId="1" fillId="7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165" fontId="2" fillId="18" borderId="0" xfId="0" applyNumberFormat="1" applyFont="1" applyFill="1"/>
    <xf numFmtId="0" fontId="2" fillId="12" borderId="0" xfId="0" applyFont="1" applyFill="1"/>
    <xf numFmtId="0" fontId="2" fillId="13" borderId="0" xfId="0" applyFont="1" applyFill="1"/>
    <xf numFmtId="0" fontId="2" fillId="14" borderId="0" xfId="0" applyFont="1" applyFill="1"/>
    <xf numFmtId="0" fontId="2" fillId="15" borderId="0" xfId="0" applyFont="1" applyFill="1"/>
    <xf numFmtId="2" fontId="2" fillId="16" borderId="0" xfId="0" applyNumberFormat="1" applyFont="1" applyFill="1"/>
    <xf numFmtId="2" fontId="2" fillId="17" borderId="0" xfId="0" applyNumberFormat="1" applyFont="1" applyFill="1"/>
    <xf numFmtId="165" fontId="2" fillId="19" borderId="0" xfId="0" applyNumberFormat="1" applyFont="1" applyFill="1"/>
    <xf numFmtId="0" fontId="2" fillId="17" borderId="0" xfId="0" applyFont="1" applyFill="1"/>
    <xf numFmtId="0" fontId="7" fillId="20" borderId="0" xfId="0" applyFont="1" applyFill="1"/>
    <xf numFmtId="0" fontId="8" fillId="21" borderId="0" xfId="0" applyFont="1" applyFill="1"/>
    <xf numFmtId="0" fontId="5" fillId="22" borderId="0" xfId="0" applyFont="1" applyFill="1"/>
    <xf numFmtId="0" fontId="6" fillId="22" borderId="0" xfId="0" applyFont="1" applyFill="1" applyAlignment="1">
      <alignment horizontal="center" vertical="center"/>
    </xf>
    <xf numFmtId="0" fontId="9" fillId="22" borderId="0" xfId="0" applyFont="1" applyFill="1" applyAlignment="1">
      <alignment horizontal="center" vertical="center"/>
    </xf>
    <xf numFmtId="2" fontId="4" fillId="3" borderId="0" xfId="0" applyNumberFormat="1" applyFont="1" applyFill="1" applyAlignment="1">
      <alignment horizontal="center"/>
    </xf>
    <xf numFmtId="2" fontId="4" fillId="25" borderId="0" xfId="0" applyNumberFormat="1" applyFont="1" applyFill="1" applyAlignment="1">
      <alignment horizontal="center"/>
    </xf>
    <xf numFmtId="0" fontId="4" fillId="26" borderId="0" xfId="0" applyFont="1" applyFill="1"/>
    <xf numFmtId="0" fontId="4" fillId="27" borderId="0" xfId="0" applyFont="1" applyFill="1" applyAlignment="1">
      <alignment horizontal="center"/>
    </xf>
    <xf numFmtId="0" fontId="4" fillId="28" borderId="0" xfId="0" applyFont="1" applyFill="1" applyAlignment="1">
      <alignment horizontal="center"/>
    </xf>
    <xf numFmtId="0" fontId="4" fillId="29" borderId="0" xfId="0" applyFont="1" applyFill="1"/>
    <xf numFmtId="0" fontId="4" fillId="30" borderId="0" xfId="0" applyFont="1" applyFill="1" applyAlignment="1">
      <alignment horizontal="center"/>
    </xf>
    <xf numFmtId="0" fontId="4" fillId="31" borderId="0" xfId="0" applyFont="1" applyFill="1" applyAlignment="1">
      <alignment horizontal="center"/>
    </xf>
    <xf numFmtId="0" fontId="4" fillId="32" borderId="0" xfId="0" applyFont="1" applyFill="1" applyAlignment="1">
      <alignment horizontal="center"/>
    </xf>
    <xf numFmtId="0" fontId="4" fillId="33" borderId="0" xfId="0" applyFont="1" applyFill="1" applyAlignment="1">
      <alignment horizontal="center"/>
    </xf>
    <xf numFmtId="0" fontId="4" fillId="20" borderId="0" xfId="0" applyFont="1" applyFill="1"/>
    <xf numFmtId="0" fontId="4" fillId="34" borderId="0" xfId="0" applyFont="1" applyFill="1"/>
    <xf numFmtId="0" fontId="4" fillId="35" borderId="0" xfId="0" applyFont="1" applyFill="1"/>
    <xf numFmtId="0" fontId="4" fillId="36" borderId="0" xfId="0" applyFont="1" applyFill="1" applyAlignment="1">
      <alignment horizontal="center"/>
    </xf>
    <xf numFmtId="0" fontId="4" fillId="37" borderId="0" xfId="0" applyFont="1" applyFill="1" applyAlignment="1">
      <alignment horizontal="center"/>
    </xf>
    <xf numFmtId="2" fontId="4" fillId="38" borderId="0" xfId="0" applyNumberFormat="1" applyFont="1" applyFill="1" applyAlignment="1">
      <alignment horizontal="center"/>
    </xf>
    <xf numFmtId="0" fontId="4" fillId="39" borderId="0" xfId="0" applyFont="1" applyFill="1" applyAlignment="1">
      <alignment horizontal="center"/>
    </xf>
    <xf numFmtId="0" fontId="4" fillId="40" borderId="0" xfId="0" applyFont="1" applyFill="1" applyAlignment="1">
      <alignment horizontal="center"/>
    </xf>
    <xf numFmtId="0" fontId="4" fillId="23" borderId="0" xfId="0" applyFont="1" applyFill="1" applyAlignment="1">
      <alignment horizontal="center"/>
    </xf>
    <xf numFmtId="0" fontId="4" fillId="41" borderId="0" xfId="0" applyFont="1" applyFill="1" applyAlignment="1">
      <alignment horizontal="center"/>
    </xf>
    <xf numFmtId="0" fontId="4" fillId="42" borderId="0" xfId="0" applyFont="1" applyFill="1"/>
    <xf numFmtId="0" fontId="4" fillId="43" borderId="0" xfId="0" applyFont="1" applyFill="1" applyAlignment="1">
      <alignment horizontal="center"/>
    </xf>
    <xf numFmtId="0" fontId="4" fillId="44" borderId="0" xfId="0" applyFont="1" applyFill="1" applyAlignment="1">
      <alignment horizontal="center"/>
    </xf>
    <xf numFmtId="2" fontId="4" fillId="45" borderId="0" xfId="0" applyNumberFormat="1" applyFont="1" applyFill="1" applyAlignment="1">
      <alignment horizontal="center"/>
    </xf>
    <xf numFmtId="0" fontId="4" fillId="46" borderId="0" xfId="0" applyFont="1" applyFill="1" applyAlignment="1">
      <alignment horizontal="center"/>
    </xf>
    <xf numFmtId="0" fontId="4" fillId="47" borderId="0" xfId="0" applyFont="1" applyFill="1" applyAlignment="1">
      <alignment horizontal="center"/>
    </xf>
    <xf numFmtId="2" fontId="4" fillId="48" borderId="0" xfId="0" applyNumberFormat="1" applyFont="1" applyFill="1" applyAlignment="1">
      <alignment horizontal="center"/>
    </xf>
    <xf numFmtId="0" fontId="4" fillId="49" borderId="0" xfId="0" applyFont="1" applyFill="1" applyAlignment="1">
      <alignment horizontal="center"/>
    </xf>
    <xf numFmtId="0" fontId="4" fillId="50" borderId="0" xfId="0" applyFont="1" applyFill="1" applyAlignment="1">
      <alignment horizontal="center"/>
    </xf>
    <xf numFmtId="0" fontId="4" fillId="51" borderId="0" xfId="0" applyFont="1" applyFill="1" applyAlignment="1">
      <alignment horizontal="center"/>
    </xf>
    <xf numFmtId="2" fontId="4" fillId="52" borderId="0" xfId="0" applyNumberFormat="1" applyFont="1" applyFill="1" applyAlignment="1">
      <alignment horizontal="center"/>
    </xf>
    <xf numFmtId="0" fontId="4" fillId="53" borderId="0" xfId="0" applyFont="1" applyFill="1" applyAlignment="1">
      <alignment horizontal="center"/>
    </xf>
    <xf numFmtId="0" fontId="4" fillId="54" borderId="0" xfId="0" applyFont="1" applyFill="1" applyAlignment="1">
      <alignment horizontal="center"/>
    </xf>
    <xf numFmtId="2" fontId="4" fillId="55" borderId="0" xfId="0" applyNumberFormat="1" applyFont="1" applyFill="1" applyAlignment="1">
      <alignment horizontal="center"/>
    </xf>
    <xf numFmtId="0" fontId="4" fillId="56" borderId="0" xfId="0" applyFont="1" applyFill="1" applyAlignment="1">
      <alignment horizontal="center"/>
    </xf>
    <xf numFmtId="0" fontId="4" fillId="57" borderId="0" xfId="0" applyFont="1" applyFill="1"/>
    <xf numFmtId="0" fontId="4" fillId="58" borderId="0" xfId="0" applyFont="1" applyFill="1" applyAlignment="1">
      <alignment horizontal="center"/>
    </xf>
    <xf numFmtId="0" fontId="4" fillId="59" borderId="0" xfId="0" applyFont="1" applyFill="1" applyAlignment="1">
      <alignment horizontal="center"/>
    </xf>
    <xf numFmtId="2" fontId="4" fillId="60" borderId="0" xfId="0" applyNumberFormat="1" applyFont="1" applyFill="1" applyAlignment="1">
      <alignment horizontal="center"/>
    </xf>
    <xf numFmtId="0" fontId="4" fillId="61" borderId="0" xfId="0" applyFont="1" applyFill="1" applyAlignment="1">
      <alignment horizontal="center"/>
    </xf>
    <xf numFmtId="0" fontId="4" fillId="62" borderId="0" xfId="0" applyFont="1" applyFill="1" applyAlignment="1">
      <alignment horizontal="center"/>
    </xf>
    <xf numFmtId="2" fontId="4" fillId="63" borderId="0" xfId="0" applyNumberFormat="1" applyFont="1" applyFill="1" applyAlignment="1">
      <alignment horizontal="center"/>
    </xf>
    <xf numFmtId="0" fontId="4" fillId="64" borderId="0" xfId="0" applyFont="1" applyFill="1" applyAlignment="1">
      <alignment horizontal="center"/>
    </xf>
    <xf numFmtId="0" fontId="4" fillId="65" borderId="0" xfId="0" applyFont="1" applyFill="1"/>
    <xf numFmtId="0" fontId="4" fillId="66" borderId="0" xfId="0" applyFont="1" applyFill="1" applyAlignment="1">
      <alignment horizontal="center"/>
    </xf>
    <xf numFmtId="0" fontId="4" fillId="67" borderId="0" xfId="0" applyFont="1" applyFill="1" applyAlignment="1">
      <alignment horizontal="center"/>
    </xf>
    <xf numFmtId="2" fontId="4" fillId="68" borderId="0" xfId="0" applyNumberFormat="1" applyFont="1" applyFill="1" applyAlignment="1">
      <alignment horizontal="center"/>
    </xf>
    <xf numFmtId="0" fontId="4" fillId="69" borderId="0" xfId="0" applyFont="1" applyFill="1" applyAlignment="1">
      <alignment horizontal="center"/>
    </xf>
    <xf numFmtId="0" fontId="4" fillId="70" borderId="0" xfId="0" applyFont="1" applyFill="1" applyAlignment="1">
      <alignment horizontal="center"/>
    </xf>
    <xf numFmtId="2" fontId="4" fillId="71" borderId="0" xfId="0" applyNumberFormat="1" applyFont="1" applyFill="1" applyAlignment="1">
      <alignment horizontal="center"/>
    </xf>
    <xf numFmtId="0" fontId="4" fillId="72" borderId="0" xfId="0" applyFont="1" applyFill="1" applyAlignment="1">
      <alignment horizontal="center"/>
    </xf>
    <xf numFmtId="0" fontId="4" fillId="73" borderId="0" xfId="0" applyFont="1" applyFill="1"/>
    <xf numFmtId="0" fontId="4" fillId="74" borderId="0" xfId="0" applyFont="1" applyFill="1" applyAlignment="1">
      <alignment horizontal="center"/>
    </xf>
    <xf numFmtId="0" fontId="4" fillId="75" borderId="0" xfId="0" applyFont="1" applyFill="1" applyAlignment="1">
      <alignment horizontal="center"/>
    </xf>
    <xf numFmtId="2" fontId="4" fillId="76" borderId="0" xfId="0" applyNumberFormat="1" applyFont="1" applyFill="1" applyAlignment="1">
      <alignment horizontal="center"/>
    </xf>
    <xf numFmtId="0" fontId="4" fillId="77" borderId="0" xfId="0" applyFont="1" applyFill="1" applyAlignment="1">
      <alignment horizontal="center"/>
    </xf>
    <xf numFmtId="0" fontId="4" fillId="78" borderId="0" xfId="0" applyFont="1" applyFill="1" applyAlignment="1">
      <alignment horizontal="center"/>
    </xf>
    <xf numFmtId="2" fontId="4" fillId="79" borderId="0" xfId="0" applyNumberFormat="1" applyFont="1" applyFill="1" applyAlignment="1">
      <alignment horizontal="center"/>
    </xf>
    <xf numFmtId="0" fontId="4" fillId="80" borderId="0" xfId="0" applyFont="1" applyFill="1" applyAlignment="1">
      <alignment horizontal="center"/>
    </xf>
    <xf numFmtId="0" fontId="4" fillId="81" borderId="0" xfId="0" applyFont="1" applyFill="1"/>
    <xf numFmtId="0" fontId="4" fillId="82" borderId="0" xfId="0" applyFont="1" applyFill="1" applyAlignment="1">
      <alignment horizontal="center"/>
    </xf>
    <xf numFmtId="0" fontId="4" fillId="83" borderId="0" xfId="0" applyFont="1" applyFill="1" applyAlignment="1">
      <alignment horizontal="center"/>
    </xf>
    <xf numFmtId="2" fontId="4" fillId="84" borderId="0" xfId="0" applyNumberFormat="1" applyFont="1" applyFill="1" applyAlignment="1">
      <alignment horizontal="center"/>
    </xf>
    <xf numFmtId="0" fontId="4" fillId="85" borderId="0" xfId="0" applyFont="1" applyFill="1" applyAlignment="1">
      <alignment horizontal="center"/>
    </xf>
    <xf numFmtId="0" fontId="4" fillId="86" borderId="0" xfId="0" applyFont="1" applyFill="1" applyAlignment="1">
      <alignment horizontal="center"/>
    </xf>
    <xf numFmtId="2" fontId="4" fillId="87" borderId="0" xfId="0" applyNumberFormat="1" applyFont="1" applyFill="1" applyAlignment="1">
      <alignment horizontal="center"/>
    </xf>
    <xf numFmtId="0" fontId="4" fillId="88" borderId="0" xfId="0" applyFont="1" applyFill="1" applyAlignment="1">
      <alignment horizontal="center"/>
    </xf>
    <xf numFmtId="0" fontId="4" fillId="89" borderId="0" xfId="0" applyFont="1" applyFill="1"/>
    <xf numFmtId="0" fontId="4" fillId="90" borderId="0" xfId="0" applyFont="1" applyFill="1" applyAlignment="1">
      <alignment horizontal="center"/>
    </xf>
    <xf numFmtId="0" fontId="4" fillId="91" borderId="0" xfId="0" applyFont="1" applyFill="1" applyAlignment="1">
      <alignment horizontal="center"/>
    </xf>
    <xf numFmtId="2" fontId="4" fillId="92" borderId="0" xfId="0" applyNumberFormat="1" applyFont="1" applyFill="1" applyAlignment="1">
      <alignment horizontal="center"/>
    </xf>
    <xf numFmtId="0" fontId="4" fillId="93" borderId="0" xfId="0" applyFont="1" applyFill="1" applyAlignment="1">
      <alignment horizontal="center"/>
    </xf>
    <xf numFmtId="0" fontId="4" fillId="94" borderId="0" xfId="0" applyFont="1" applyFill="1" applyAlignment="1">
      <alignment horizontal="center"/>
    </xf>
    <xf numFmtId="2" fontId="4" fillId="95" borderId="0" xfId="0" applyNumberFormat="1" applyFont="1" applyFill="1" applyAlignment="1">
      <alignment horizontal="center"/>
    </xf>
    <xf numFmtId="0" fontId="4" fillId="96" borderId="0" xfId="0" applyFont="1" applyFill="1" applyAlignment="1">
      <alignment horizontal="center"/>
    </xf>
    <xf numFmtId="0" fontId="4" fillId="97" borderId="0" xfId="0" applyFont="1" applyFill="1"/>
    <xf numFmtId="0" fontId="4" fillId="98" borderId="0" xfId="0" applyFont="1" applyFill="1" applyAlignment="1">
      <alignment horizontal="center"/>
    </xf>
    <xf numFmtId="0" fontId="4" fillId="99" borderId="0" xfId="0" applyFont="1" applyFill="1" applyAlignment="1">
      <alignment horizontal="center"/>
    </xf>
    <xf numFmtId="2" fontId="4" fillId="100" borderId="0" xfId="0" applyNumberFormat="1" applyFont="1" applyFill="1" applyAlignment="1">
      <alignment horizontal="center"/>
    </xf>
    <xf numFmtId="0" fontId="4" fillId="101" borderId="0" xfId="0" applyFont="1" applyFill="1" applyAlignment="1">
      <alignment horizontal="center"/>
    </xf>
    <xf numFmtId="0" fontId="4" fillId="102" borderId="0" xfId="0" applyFont="1" applyFill="1" applyAlignment="1">
      <alignment horizontal="center"/>
    </xf>
    <xf numFmtId="2" fontId="4" fillId="103" borderId="0" xfId="0" applyNumberFormat="1" applyFont="1" applyFill="1" applyAlignment="1">
      <alignment horizontal="center"/>
    </xf>
    <xf numFmtId="0" fontId="4" fillId="104" borderId="0" xfId="0" applyFont="1" applyFill="1" applyAlignment="1">
      <alignment horizontal="center"/>
    </xf>
    <xf numFmtId="0" fontId="4" fillId="105" borderId="0" xfId="0" applyFont="1" applyFill="1"/>
    <xf numFmtId="0" fontId="4" fillId="106" borderId="0" xfId="0" applyFont="1" applyFill="1" applyAlignment="1">
      <alignment horizontal="center"/>
    </xf>
    <xf numFmtId="0" fontId="4" fillId="107" borderId="0" xfId="0" applyFont="1" applyFill="1" applyAlignment="1">
      <alignment horizontal="center"/>
    </xf>
    <xf numFmtId="2" fontId="4" fillId="108" borderId="0" xfId="0" applyNumberFormat="1" applyFont="1" applyFill="1" applyAlignment="1">
      <alignment horizontal="center"/>
    </xf>
    <xf numFmtId="0" fontId="4" fillId="109" borderId="0" xfId="0" applyFont="1" applyFill="1" applyAlignment="1">
      <alignment horizontal="center"/>
    </xf>
    <xf numFmtId="0" fontId="4" fillId="110" borderId="0" xfId="0" applyFont="1" applyFill="1" applyAlignment="1">
      <alignment horizontal="center"/>
    </xf>
    <xf numFmtId="2" fontId="4" fillId="111" borderId="0" xfId="0" applyNumberFormat="1" applyFont="1" applyFill="1" applyAlignment="1">
      <alignment horizontal="center"/>
    </xf>
    <xf numFmtId="0" fontId="4" fillId="112" borderId="0" xfId="0" applyFont="1" applyFill="1" applyAlignment="1">
      <alignment horizontal="center"/>
    </xf>
    <xf numFmtId="0" fontId="4" fillId="113" borderId="0" xfId="0" applyFont="1" applyFill="1"/>
    <xf numFmtId="0" fontId="4" fillId="114" borderId="0" xfId="0" applyFont="1" applyFill="1" applyAlignment="1">
      <alignment horizontal="center"/>
    </xf>
    <xf numFmtId="0" fontId="4" fillId="115" borderId="0" xfId="0" applyFont="1" applyFill="1" applyAlignment="1">
      <alignment horizontal="center"/>
    </xf>
    <xf numFmtId="2" fontId="4" fillId="116" borderId="0" xfId="0" applyNumberFormat="1" applyFont="1" applyFill="1" applyAlignment="1">
      <alignment horizontal="center"/>
    </xf>
    <xf numFmtId="0" fontId="4" fillId="117" borderId="0" xfId="0" applyFont="1" applyFill="1" applyAlignment="1">
      <alignment horizontal="center"/>
    </xf>
    <xf numFmtId="0" fontId="4" fillId="118" borderId="0" xfId="0" applyFont="1" applyFill="1" applyAlignment="1">
      <alignment horizontal="center"/>
    </xf>
    <xf numFmtId="2" fontId="4" fillId="119" borderId="0" xfId="0" applyNumberFormat="1" applyFont="1" applyFill="1" applyAlignment="1">
      <alignment horizontal="center"/>
    </xf>
    <xf numFmtId="0" fontId="4" fillId="120" borderId="0" xfId="0" applyFont="1" applyFill="1" applyAlignment="1">
      <alignment horizontal="center"/>
    </xf>
    <xf numFmtId="0" fontId="4" fillId="121" borderId="0" xfId="0" applyFont="1" applyFill="1"/>
    <xf numFmtId="0" fontId="4" fillId="122" borderId="0" xfId="0" applyFont="1" applyFill="1" applyAlignment="1">
      <alignment horizontal="center"/>
    </xf>
    <xf numFmtId="0" fontId="4" fillId="123" borderId="0" xfId="0" applyFont="1" applyFill="1" applyAlignment="1">
      <alignment horizontal="center"/>
    </xf>
    <xf numFmtId="2" fontId="4" fillId="124" borderId="0" xfId="0" applyNumberFormat="1" applyFont="1" applyFill="1" applyAlignment="1">
      <alignment horizontal="center"/>
    </xf>
    <xf numFmtId="0" fontId="4" fillId="125" borderId="0" xfId="0" applyFont="1" applyFill="1" applyAlignment="1">
      <alignment horizontal="center"/>
    </xf>
    <xf numFmtId="0" fontId="4" fillId="126" borderId="0" xfId="0" applyFont="1" applyFill="1" applyAlignment="1">
      <alignment horizontal="center"/>
    </xf>
    <xf numFmtId="2" fontId="4" fillId="127" borderId="0" xfId="0" applyNumberFormat="1" applyFont="1" applyFill="1" applyAlignment="1">
      <alignment horizontal="center"/>
    </xf>
    <xf numFmtId="0" fontId="4" fillId="128" borderId="0" xfId="0" applyFont="1" applyFill="1" applyAlignment="1">
      <alignment horizontal="center"/>
    </xf>
    <xf numFmtId="0" fontId="4" fillId="129" borderId="0" xfId="0" applyFont="1" applyFill="1"/>
    <xf numFmtId="0" fontId="4" fillId="130" borderId="0" xfId="0" applyFont="1" applyFill="1" applyAlignment="1">
      <alignment horizontal="center"/>
    </xf>
    <xf numFmtId="0" fontId="4" fillId="131" borderId="0" xfId="0" applyFont="1" applyFill="1" applyAlignment="1">
      <alignment horizontal="center"/>
    </xf>
    <xf numFmtId="2" fontId="4" fillId="132" borderId="0" xfId="0" applyNumberFormat="1" applyFont="1" applyFill="1" applyAlignment="1">
      <alignment horizontal="center"/>
    </xf>
    <xf numFmtId="0" fontId="4" fillId="133" borderId="0" xfId="0" applyFont="1" applyFill="1" applyAlignment="1">
      <alignment horizontal="center"/>
    </xf>
    <xf numFmtId="0" fontId="4" fillId="134" borderId="0" xfId="0" applyFont="1" applyFill="1" applyAlignment="1">
      <alignment horizontal="center"/>
    </xf>
    <xf numFmtId="2" fontId="4" fillId="135" borderId="0" xfId="0" applyNumberFormat="1" applyFont="1" applyFill="1" applyAlignment="1">
      <alignment horizontal="center"/>
    </xf>
    <xf numFmtId="0" fontId="4" fillId="136" borderId="0" xfId="0" applyFont="1" applyFill="1" applyAlignment="1">
      <alignment horizontal="center"/>
    </xf>
    <xf numFmtId="0" fontId="4" fillId="137" borderId="0" xfId="0" applyFont="1" applyFill="1"/>
    <xf numFmtId="0" fontId="4" fillId="138" borderId="0" xfId="0" applyFont="1" applyFill="1" applyAlignment="1">
      <alignment horizontal="center"/>
    </xf>
    <xf numFmtId="0" fontId="4" fillId="139" borderId="0" xfId="0" applyFont="1" applyFill="1" applyAlignment="1">
      <alignment horizontal="center"/>
    </xf>
    <xf numFmtId="2" fontId="4" fillId="140" borderId="0" xfId="0" applyNumberFormat="1" applyFont="1" applyFill="1" applyAlignment="1">
      <alignment horizontal="center"/>
    </xf>
    <xf numFmtId="0" fontId="4" fillId="141" borderId="0" xfId="0" applyFont="1" applyFill="1" applyAlignment="1">
      <alignment horizontal="center"/>
    </xf>
    <xf numFmtId="0" fontId="4" fillId="142" borderId="0" xfId="0" applyFont="1" applyFill="1" applyAlignment="1">
      <alignment horizontal="center"/>
    </xf>
    <xf numFmtId="2" fontId="4" fillId="143" borderId="0" xfId="0" applyNumberFormat="1" applyFont="1" applyFill="1" applyAlignment="1">
      <alignment horizontal="center"/>
    </xf>
    <xf numFmtId="0" fontId="4" fillId="144" borderId="0" xfId="0" applyFont="1" applyFill="1" applyAlignment="1">
      <alignment horizontal="center"/>
    </xf>
    <xf numFmtId="0" fontId="4" fillId="145" borderId="0" xfId="0" applyFont="1" applyFill="1"/>
    <xf numFmtId="0" fontId="4" fillId="146" borderId="0" xfId="0" applyFont="1" applyFill="1" applyAlignment="1">
      <alignment horizontal="center"/>
    </xf>
    <xf numFmtId="0" fontId="4" fillId="147" borderId="0" xfId="0" applyFont="1" applyFill="1" applyAlignment="1">
      <alignment horizontal="center"/>
    </xf>
    <xf numFmtId="2" fontId="4" fillId="148" borderId="0" xfId="0" applyNumberFormat="1" applyFont="1" applyFill="1" applyAlignment="1">
      <alignment horizontal="center"/>
    </xf>
    <xf numFmtId="0" fontId="4" fillId="149" borderId="0" xfId="0" applyFont="1" applyFill="1" applyAlignment="1">
      <alignment horizontal="center"/>
    </xf>
    <xf numFmtId="0" fontId="4" fillId="150" borderId="0" xfId="0" applyFont="1" applyFill="1" applyAlignment="1">
      <alignment horizontal="center"/>
    </xf>
    <xf numFmtId="2" fontId="4" fillId="151" borderId="0" xfId="0" applyNumberFormat="1" applyFont="1" applyFill="1" applyAlignment="1">
      <alignment horizontal="center"/>
    </xf>
    <xf numFmtId="0" fontId="4" fillId="152" borderId="0" xfId="0" applyFont="1" applyFill="1" applyAlignment="1">
      <alignment horizontal="center"/>
    </xf>
    <xf numFmtId="0" fontId="4" fillId="153" borderId="0" xfId="0" applyFont="1" applyFill="1"/>
    <xf numFmtId="0" fontId="4" fillId="154" borderId="0" xfId="0" applyFont="1" applyFill="1" applyAlignment="1">
      <alignment horizontal="center"/>
    </xf>
    <xf numFmtId="0" fontId="4" fillId="155" borderId="0" xfId="0" applyFont="1" applyFill="1" applyAlignment="1">
      <alignment horizontal="center"/>
    </xf>
    <xf numFmtId="2" fontId="4" fillId="156" borderId="0" xfId="0" applyNumberFormat="1" applyFont="1" applyFill="1" applyAlignment="1">
      <alignment horizontal="center"/>
    </xf>
    <xf numFmtId="0" fontId="4" fillId="157" borderId="0" xfId="0" applyFont="1" applyFill="1" applyAlignment="1">
      <alignment horizontal="center"/>
    </xf>
    <xf numFmtId="0" fontId="4" fillId="158" borderId="0" xfId="0" applyFont="1" applyFill="1" applyAlignment="1">
      <alignment horizontal="center"/>
    </xf>
    <xf numFmtId="2" fontId="4" fillId="159" borderId="0" xfId="0" applyNumberFormat="1" applyFont="1" applyFill="1" applyAlignment="1">
      <alignment horizontal="center"/>
    </xf>
    <xf numFmtId="0" fontId="4" fillId="160" borderId="0" xfId="0" applyFont="1" applyFill="1" applyAlignment="1">
      <alignment horizontal="center"/>
    </xf>
    <xf numFmtId="0" fontId="4" fillId="161" borderId="0" xfId="0" applyFont="1" applyFill="1"/>
    <xf numFmtId="0" fontId="4" fillId="162" borderId="0" xfId="0" applyFont="1" applyFill="1" applyAlignment="1">
      <alignment horizontal="center"/>
    </xf>
    <xf numFmtId="0" fontId="4" fillId="163" borderId="0" xfId="0" applyFont="1" applyFill="1" applyAlignment="1">
      <alignment horizontal="center"/>
    </xf>
    <xf numFmtId="2" fontId="4" fillId="164" borderId="0" xfId="0" applyNumberFormat="1" applyFont="1" applyFill="1" applyAlignment="1">
      <alignment horizontal="center"/>
    </xf>
    <xf numFmtId="0" fontId="4" fillId="165" borderId="0" xfId="0" applyFont="1" applyFill="1" applyAlignment="1">
      <alignment horizontal="center"/>
    </xf>
    <xf numFmtId="0" fontId="4" fillId="166" borderId="0" xfId="0" applyFont="1" applyFill="1" applyAlignment="1">
      <alignment horizontal="center"/>
    </xf>
    <xf numFmtId="2" fontId="4" fillId="167" borderId="0" xfId="0" applyNumberFormat="1" applyFont="1" applyFill="1" applyAlignment="1">
      <alignment horizontal="center"/>
    </xf>
    <xf numFmtId="0" fontId="4" fillId="168" borderId="0" xfId="0" applyFont="1" applyFill="1" applyAlignment="1">
      <alignment horizontal="center"/>
    </xf>
    <xf numFmtId="0" fontId="4" fillId="169" borderId="0" xfId="0" applyFont="1" applyFill="1"/>
    <xf numFmtId="0" fontId="4" fillId="170" borderId="0" xfId="0" applyFont="1" applyFill="1" applyAlignment="1">
      <alignment horizontal="center"/>
    </xf>
    <xf numFmtId="0" fontId="4" fillId="171" borderId="0" xfId="0" applyFont="1" applyFill="1" applyAlignment="1">
      <alignment horizontal="center"/>
    </xf>
    <xf numFmtId="2" fontId="4" fillId="172" borderId="0" xfId="0" applyNumberFormat="1" applyFont="1" applyFill="1" applyAlignment="1">
      <alignment horizontal="center"/>
    </xf>
    <xf numFmtId="0" fontId="4" fillId="173" borderId="0" xfId="0" applyFont="1" applyFill="1" applyAlignment="1">
      <alignment horizontal="center"/>
    </xf>
    <xf numFmtId="0" fontId="4" fillId="174" borderId="0" xfId="0" applyFont="1" applyFill="1" applyAlignment="1">
      <alignment horizontal="center"/>
    </xf>
    <xf numFmtId="2" fontId="4" fillId="175" borderId="0" xfId="0" applyNumberFormat="1" applyFont="1" applyFill="1" applyAlignment="1">
      <alignment horizontal="center"/>
    </xf>
    <xf numFmtId="0" fontId="4" fillId="176" borderId="0" xfId="0" applyFont="1" applyFill="1" applyAlignment="1">
      <alignment horizontal="center"/>
    </xf>
    <xf numFmtId="0" fontId="4" fillId="177" borderId="0" xfId="0" applyFont="1" applyFill="1"/>
    <xf numFmtId="0" fontId="4" fillId="178" borderId="0" xfId="0" applyFont="1" applyFill="1" applyAlignment="1">
      <alignment horizontal="center"/>
    </xf>
    <xf numFmtId="0" fontId="4" fillId="179" borderId="0" xfId="0" applyFont="1" applyFill="1" applyAlignment="1">
      <alignment horizontal="center"/>
    </xf>
    <xf numFmtId="2" fontId="4" fillId="180" borderId="0" xfId="0" applyNumberFormat="1" applyFont="1" applyFill="1" applyAlignment="1">
      <alignment horizontal="center"/>
    </xf>
    <xf numFmtId="0" fontId="4" fillId="181" borderId="0" xfId="0" applyFont="1" applyFill="1" applyAlignment="1">
      <alignment horizontal="center"/>
    </xf>
    <xf numFmtId="0" fontId="4" fillId="182" borderId="0" xfId="0" applyFont="1" applyFill="1" applyAlignment="1">
      <alignment horizontal="center"/>
    </xf>
    <xf numFmtId="2" fontId="4" fillId="183" borderId="0" xfId="0" applyNumberFormat="1" applyFont="1" applyFill="1" applyAlignment="1">
      <alignment horizontal="center"/>
    </xf>
    <xf numFmtId="0" fontId="4" fillId="184" borderId="0" xfId="0" applyFont="1" applyFill="1" applyAlignment="1">
      <alignment horizontal="center"/>
    </xf>
    <xf numFmtId="0" fontId="4" fillId="185" borderId="0" xfId="0" applyFont="1" applyFill="1"/>
    <xf numFmtId="0" fontId="4" fillId="186" borderId="0" xfId="0" applyFont="1" applyFill="1" applyAlignment="1">
      <alignment horizontal="center"/>
    </xf>
    <xf numFmtId="0" fontId="4" fillId="187" borderId="0" xfId="0" applyFont="1" applyFill="1" applyAlignment="1">
      <alignment horizontal="center"/>
    </xf>
    <xf numFmtId="2" fontId="4" fillId="188" borderId="0" xfId="0" applyNumberFormat="1" applyFont="1" applyFill="1" applyAlignment="1">
      <alignment horizontal="center"/>
    </xf>
    <xf numFmtId="0" fontId="4" fillId="189" borderId="0" xfId="0" applyFont="1" applyFill="1" applyAlignment="1">
      <alignment horizontal="center"/>
    </xf>
    <xf numFmtId="0" fontId="4" fillId="190" borderId="0" xfId="0" applyFont="1" applyFill="1" applyAlignment="1">
      <alignment horizontal="center"/>
    </xf>
    <xf numFmtId="2" fontId="4" fillId="191" borderId="0" xfId="0" applyNumberFormat="1" applyFont="1" applyFill="1" applyAlignment="1">
      <alignment horizontal="center"/>
    </xf>
    <xf numFmtId="0" fontId="4" fillId="192" borderId="0" xfId="0" applyFont="1" applyFill="1" applyAlignment="1">
      <alignment horizontal="center"/>
    </xf>
    <xf numFmtId="0" fontId="4" fillId="193" borderId="0" xfId="0" applyFont="1" applyFill="1"/>
    <xf numFmtId="0" fontId="4" fillId="194" borderId="0" xfId="0" applyFont="1" applyFill="1" applyAlignment="1">
      <alignment horizontal="center"/>
    </xf>
    <xf numFmtId="0" fontId="4" fillId="195" borderId="0" xfId="0" applyFont="1" applyFill="1" applyAlignment="1">
      <alignment horizontal="center"/>
    </xf>
    <xf numFmtId="2" fontId="4" fillId="196" borderId="0" xfId="0" applyNumberFormat="1" applyFont="1" applyFill="1" applyAlignment="1">
      <alignment horizontal="center"/>
    </xf>
    <xf numFmtId="0" fontId="4" fillId="197" borderId="0" xfId="0" applyFont="1" applyFill="1" applyAlignment="1">
      <alignment horizontal="center"/>
    </xf>
    <xf numFmtId="0" fontId="4" fillId="198" borderId="0" xfId="0" applyFont="1" applyFill="1" applyAlignment="1">
      <alignment horizontal="center"/>
    </xf>
    <xf numFmtId="2" fontId="4" fillId="199" borderId="0" xfId="0" applyNumberFormat="1" applyFont="1" applyFill="1" applyAlignment="1">
      <alignment horizontal="center"/>
    </xf>
    <xf numFmtId="0" fontId="4" fillId="200" borderId="0" xfId="0" applyFont="1" applyFill="1" applyAlignment="1">
      <alignment horizontal="center"/>
    </xf>
    <xf numFmtId="0" fontId="4" fillId="201" borderId="0" xfId="0" applyFont="1" applyFill="1"/>
    <xf numFmtId="0" fontId="4" fillId="202" borderId="0" xfId="0" applyFont="1" applyFill="1" applyAlignment="1">
      <alignment horizontal="center"/>
    </xf>
    <xf numFmtId="0" fontId="4" fillId="203" borderId="0" xfId="0" applyFont="1" applyFill="1" applyAlignment="1">
      <alignment horizontal="center"/>
    </xf>
    <xf numFmtId="2" fontId="4" fillId="204" borderId="0" xfId="0" applyNumberFormat="1" applyFont="1" applyFill="1" applyAlignment="1">
      <alignment horizontal="center"/>
    </xf>
    <xf numFmtId="0" fontId="4" fillId="205" borderId="0" xfId="0" applyFont="1" applyFill="1" applyAlignment="1">
      <alignment horizontal="center"/>
    </xf>
    <xf numFmtId="0" fontId="4" fillId="206" borderId="0" xfId="0" applyFont="1" applyFill="1" applyAlignment="1">
      <alignment horizontal="center"/>
    </xf>
    <xf numFmtId="2" fontId="4" fillId="207" borderId="0" xfId="0" applyNumberFormat="1" applyFont="1" applyFill="1" applyAlignment="1">
      <alignment horizontal="center"/>
    </xf>
    <xf numFmtId="0" fontId="4" fillId="208" borderId="0" xfId="0" applyFont="1" applyFill="1" applyAlignment="1">
      <alignment horizontal="center"/>
    </xf>
    <xf numFmtId="0" fontId="4" fillId="209" borderId="0" xfId="0" applyFont="1" applyFill="1"/>
    <xf numFmtId="0" fontId="4" fillId="210" borderId="0" xfId="0" applyFont="1" applyFill="1" applyAlignment="1">
      <alignment horizontal="center"/>
    </xf>
    <xf numFmtId="0" fontId="4" fillId="211" borderId="0" xfId="0" applyFont="1" applyFill="1" applyAlignment="1">
      <alignment horizontal="center"/>
    </xf>
    <xf numFmtId="2" fontId="4" fillId="212" borderId="0" xfId="0" applyNumberFormat="1" applyFont="1" applyFill="1" applyAlignment="1">
      <alignment horizontal="center"/>
    </xf>
    <xf numFmtId="0" fontId="4" fillId="213" borderId="0" xfId="0" applyFont="1" applyFill="1" applyAlignment="1">
      <alignment horizontal="center"/>
    </xf>
    <xf numFmtId="0" fontId="4" fillId="214" borderId="0" xfId="0" applyFont="1" applyFill="1" applyAlignment="1">
      <alignment horizontal="center"/>
    </xf>
    <xf numFmtId="2" fontId="4" fillId="215" borderId="0" xfId="0" applyNumberFormat="1" applyFont="1" applyFill="1" applyAlignment="1">
      <alignment horizontal="center"/>
    </xf>
    <xf numFmtId="0" fontId="4" fillId="216" borderId="0" xfId="0" applyFont="1" applyFill="1" applyAlignment="1">
      <alignment horizontal="center"/>
    </xf>
    <xf numFmtId="0" fontId="4" fillId="217" borderId="0" xfId="0" applyFont="1" applyFill="1"/>
    <xf numFmtId="0" fontId="4" fillId="218" borderId="0" xfId="0" applyFont="1" applyFill="1" applyAlignment="1">
      <alignment horizontal="center"/>
    </xf>
    <xf numFmtId="0" fontId="4" fillId="219" borderId="0" xfId="0" applyFont="1" applyFill="1" applyAlignment="1">
      <alignment horizontal="center"/>
    </xf>
    <xf numFmtId="2" fontId="4" fillId="220" borderId="0" xfId="0" applyNumberFormat="1" applyFont="1" applyFill="1" applyAlignment="1">
      <alignment horizontal="center"/>
    </xf>
    <xf numFmtId="0" fontId="4" fillId="221" borderId="0" xfId="0" applyFont="1" applyFill="1" applyAlignment="1">
      <alignment horizontal="center"/>
    </xf>
    <xf numFmtId="0" fontId="4" fillId="222" borderId="0" xfId="0" applyFont="1" applyFill="1" applyAlignment="1">
      <alignment horizontal="center"/>
    </xf>
    <xf numFmtId="2" fontId="4" fillId="223" borderId="0" xfId="0" applyNumberFormat="1" applyFont="1" applyFill="1" applyAlignment="1">
      <alignment horizontal="center"/>
    </xf>
    <xf numFmtId="0" fontId="4" fillId="224" borderId="0" xfId="0" applyFont="1" applyFill="1" applyAlignment="1">
      <alignment horizontal="center"/>
    </xf>
    <xf numFmtId="0" fontId="4" fillId="225" borderId="0" xfId="0" applyFont="1" applyFill="1"/>
    <xf numFmtId="0" fontId="4" fillId="226" borderId="0" xfId="0" applyFont="1" applyFill="1" applyAlignment="1">
      <alignment horizontal="center"/>
    </xf>
    <xf numFmtId="0" fontId="4" fillId="227" borderId="0" xfId="0" applyFont="1" applyFill="1" applyAlignment="1">
      <alignment horizontal="center"/>
    </xf>
    <xf numFmtId="2" fontId="4" fillId="228" borderId="0" xfId="0" applyNumberFormat="1" applyFont="1" applyFill="1" applyAlignment="1">
      <alignment horizontal="center"/>
    </xf>
    <xf numFmtId="0" fontId="4" fillId="229" borderId="0" xfId="0" applyFont="1" applyFill="1" applyAlignment="1">
      <alignment horizontal="center"/>
    </xf>
    <xf numFmtId="0" fontId="4" fillId="230" borderId="0" xfId="0" applyFont="1" applyFill="1" applyAlignment="1">
      <alignment horizontal="center"/>
    </xf>
    <xf numFmtId="2" fontId="4" fillId="231" borderId="0" xfId="0" applyNumberFormat="1" applyFont="1" applyFill="1" applyAlignment="1">
      <alignment horizontal="center"/>
    </xf>
    <xf numFmtId="0" fontId="4" fillId="232" borderId="0" xfId="0" applyFont="1" applyFill="1" applyAlignment="1">
      <alignment horizontal="center"/>
    </xf>
    <xf numFmtId="0" fontId="4" fillId="233" borderId="0" xfId="0" applyFont="1" applyFill="1"/>
    <xf numFmtId="0" fontId="4" fillId="234" borderId="0" xfId="0" applyFont="1" applyFill="1" applyAlignment="1">
      <alignment horizontal="center"/>
    </xf>
    <xf numFmtId="0" fontId="4" fillId="235" borderId="0" xfId="0" applyFont="1" applyFill="1" applyAlignment="1">
      <alignment horizontal="center"/>
    </xf>
    <xf numFmtId="2" fontId="4" fillId="236" borderId="0" xfId="0" applyNumberFormat="1" applyFont="1" applyFill="1" applyAlignment="1">
      <alignment horizontal="center"/>
    </xf>
    <xf numFmtId="0" fontId="4" fillId="237" borderId="0" xfId="0" applyFont="1" applyFill="1" applyAlignment="1">
      <alignment horizontal="center"/>
    </xf>
    <xf numFmtId="0" fontId="4" fillId="238" borderId="0" xfId="0" applyFont="1" applyFill="1" applyAlignment="1">
      <alignment horizontal="center"/>
    </xf>
    <xf numFmtId="2" fontId="4" fillId="239" borderId="0" xfId="0" applyNumberFormat="1" applyFont="1" applyFill="1" applyAlignment="1">
      <alignment horizontal="center"/>
    </xf>
    <xf numFmtId="0" fontId="4" fillId="240" borderId="0" xfId="0" applyFont="1" applyFill="1" applyAlignment="1">
      <alignment horizontal="center"/>
    </xf>
    <xf numFmtId="0" fontId="4" fillId="241" borderId="0" xfId="0" applyFont="1" applyFill="1"/>
    <xf numFmtId="0" fontId="4" fillId="242" borderId="0" xfId="0" applyFont="1" applyFill="1" applyAlignment="1">
      <alignment horizontal="center"/>
    </xf>
    <xf numFmtId="0" fontId="4" fillId="243" borderId="0" xfId="0" applyFont="1" applyFill="1" applyAlignment="1">
      <alignment horizontal="center"/>
    </xf>
    <xf numFmtId="2" fontId="4" fillId="244" borderId="0" xfId="0" applyNumberFormat="1" applyFont="1" applyFill="1" applyAlignment="1">
      <alignment horizontal="center"/>
    </xf>
    <xf numFmtId="0" fontId="4" fillId="245" borderId="0" xfId="0" applyFont="1" applyFill="1" applyAlignment="1">
      <alignment horizontal="center"/>
    </xf>
    <xf numFmtId="0" fontId="4" fillId="246" borderId="0" xfId="0" applyFont="1" applyFill="1" applyAlignment="1">
      <alignment horizontal="center"/>
    </xf>
    <xf numFmtId="2" fontId="4" fillId="247" borderId="0" xfId="0" applyNumberFormat="1" applyFont="1" applyFill="1" applyAlignment="1">
      <alignment horizontal="center"/>
    </xf>
    <xf numFmtId="0" fontId="4" fillId="248" borderId="0" xfId="0" applyFont="1" applyFill="1" applyAlignment="1">
      <alignment horizontal="center"/>
    </xf>
    <xf numFmtId="0" fontId="4" fillId="249" borderId="0" xfId="0" applyFont="1" applyFill="1"/>
    <xf numFmtId="0" fontId="4" fillId="250" borderId="0" xfId="0" applyFont="1" applyFill="1" applyAlignment="1">
      <alignment horizontal="center"/>
    </xf>
    <xf numFmtId="0" fontId="4" fillId="251" borderId="0" xfId="0" applyFont="1" applyFill="1" applyAlignment="1">
      <alignment horizontal="center"/>
    </xf>
    <xf numFmtId="2" fontId="4" fillId="252" borderId="0" xfId="0" applyNumberFormat="1" applyFont="1" applyFill="1" applyAlignment="1">
      <alignment horizontal="center"/>
    </xf>
    <xf numFmtId="0" fontId="4" fillId="253" borderId="0" xfId="0" applyFont="1" applyFill="1" applyAlignment="1">
      <alignment horizontal="center"/>
    </xf>
    <xf numFmtId="0" fontId="4" fillId="254" borderId="0" xfId="0" applyFont="1" applyFill="1" applyAlignment="1">
      <alignment horizontal="center"/>
    </xf>
    <xf numFmtId="2" fontId="4" fillId="255" borderId="0" xfId="0" applyNumberFormat="1" applyFont="1" applyFill="1" applyAlignment="1">
      <alignment horizontal="center"/>
    </xf>
    <xf numFmtId="0" fontId="4" fillId="256" borderId="0" xfId="0" applyFont="1" applyFill="1" applyAlignment="1">
      <alignment horizontal="center"/>
    </xf>
    <xf numFmtId="0" fontId="4" fillId="257" borderId="0" xfId="0" applyFont="1" applyFill="1"/>
    <xf numFmtId="0" fontId="4" fillId="258" borderId="0" xfId="0" applyFont="1" applyFill="1" applyAlignment="1">
      <alignment horizontal="center"/>
    </xf>
    <xf numFmtId="0" fontId="4" fillId="259" borderId="0" xfId="0" applyFont="1" applyFill="1" applyAlignment="1">
      <alignment horizontal="center"/>
    </xf>
    <xf numFmtId="2" fontId="4" fillId="260" borderId="0" xfId="0" applyNumberFormat="1" applyFont="1" applyFill="1" applyAlignment="1">
      <alignment horizontal="center"/>
    </xf>
    <xf numFmtId="0" fontId="4" fillId="261" borderId="0" xfId="0" applyFont="1" applyFill="1" applyAlignment="1">
      <alignment horizontal="center"/>
    </xf>
    <xf numFmtId="0" fontId="4" fillId="262" borderId="0" xfId="0" applyFont="1" applyFill="1" applyAlignment="1">
      <alignment horizontal="center"/>
    </xf>
    <xf numFmtId="2" fontId="4" fillId="263" borderId="0" xfId="0" applyNumberFormat="1" applyFont="1" applyFill="1" applyAlignment="1">
      <alignment horizontal="center"/>
    </xf>
    <xf numFmtId="0" fontId="4" fillId="264" borderId="0" xfId="0" applyFont="1" applyFill="1" applyAlignment="1">
      <alignment horizontal="center"/>
    </xf>
    <xf numFmtId="0" fontId="4" fillId="265" borderId="0" xfId="0" applyFont="1" applyFill="1"/>
    <xf numFmtId="0" fontId="4" fillId="266" borderId="0" xfId="0" applyFont="1" applyFill="1" applyAlignment="1">
      <alignment horizontal="center"/>
    </xf>
    <xf numFmtId="0" fontId="4" fillId="267" borderId="0" xfId="0" applyFont="1" applyFill="1" applyAlignment="1">
      <alignment horizontal="center"/>
    </xf>
    <xf numFmtId="2" fontId="4" fillId="268" borderId="0" xfId="0" applyNumberFormat="1" applyFont="1" applyFill="1" applyAlignment="1">
      <alignment horizontal="center"/>
    </xf>
    <xf numFmtId="0" fontId="4" fillId="269" borderId="0" xfId="0" applyFont="1" applyFill="1" applyAlignment="1">
      <alignment horizontal="center"/>
    </xf>
    <xf numFmtId="0" fontId="4" fillId="270" borderId="0" xfId="0" applyFont="1" applyFill="1" applyAlignment="1">
      <alignment horizontal="center"/>
    </xf>
    <xf numFmtId="2" fontId="4" fillId="271" borderId="0" xfId="0" applyNumberFormat="1" applyFont="1" applyFill="1" applyAlignment="1">
      <alignment horizontal="center"/>
    </xf>
    <xf numFmtId="0" fontId="4" fillId="272" borderId="0" xfId="0" applyFont="1" applyFill="1" applyAlignment="1">
      <alignment horizontal="center"/>
    </xf>
    <xf numFmtId="0" fontId="4" fillId="273" borderId="0" xfId="0" applyFont="1" applyFill="1"/>
    <xf numFmtId="0" fontId="4" fillId="274" borderId="0" xfId="0" applyFont="1" applyFill="1" applyAlignment="1">
      <alignment horizontal="center"/>
    </xf>
    <xf numFmtId="0" fontId="4" fillId="275" borderId="0" xfId="0" applyFont="1" applyFill="1" applyAlignment="1">
      <alignment horizontal="center"/>
    </xf>
    <xf numFmtId="2" fontId="4" fillId="276" borderId="0" xfId="0" applyNumberFormat="1" applyFont="1" applyFill="1" applyAlignment="1">
      <alignment horizontal="center"/>
    </xf>
    <xf numFmtId="0" fontId="4" fillId="277" borderId="0" xfId="0" applyFont="1" applyFill="1" applyAlignment="1">
      <alignment horizontal="center"/>
    </xf>
    <xf numFmtId="0" fontId="4" fillId="278" borderId="0" xfId="0" applyFont="1" applyFill="1" applyAlignment="1">
      <alignment horizontal="center"/>
    </xf>
    <xf numFmtId="2" fontId="4" fillId="279" borderId="0" xfId="0" applyNumberFormat="1" applyFont="1" applyFill="1" applyAlignment="1">
      <alignment horizontal="center"/>
    </xf>
    <xf numFmtId="0" fontId="4" fillId="280" borderId="0" xfId="0" applyFont="1" applyFill="1" applyAlignment="1">
      <alignment horizontal="center"/>
    </xf>
    <xf numFmtId="0" fontId="4" fillId="281" borderId="0" xfId="0" applyFont="1" applyFill="1"/>
    <xf numFmtId="0" fontId="4" fillId="282" borderId="0" xfId="0" applyFont="1" applyFill="1" applyAlignment="1">
      <alignment horizontal="center"/>
    </xf>
    <xf numFmtId="0" fontId="4" fillId="283" borderId="0" xfId="0" applyFont="1" applyFill="1" applyAlignment="1">
      <alignment horizontal="center"/>
    </xf>
    <xf numFmtId="2" fontId="4" fillId="284" borderId="0" xfId="0" applyNumberFormat="1" applyFont="1" applyFill="1" applyAlignment="1">
      <alignment horizontal="center"/>
    </xf>
    <xf numFmtId="0" fontId="4" fillId="285" borderId="0" xfId="0" applyFont="1" applyFill="1" applyAlignment="1">
      <alignment horizontal="center"/>
    </xf>
    <xf numFmtId="0" fontId="4" fillId="286" borderId="0" xfId="0" applyFont="1" applyFill="1" applyAlignment="1">
      <alignment horizontal="center"/>
    </xf>
    <xf numFmtId="2" fontId="4" fillId="287" borderId="0" xfId="0" applyNumberFormat="1" applyFont="1" applyFill="1" applyAlignment="1">
      <alignment horizontal="center"/>
    </xf>
    <xf numFmtId="0" fontId="4" fillId="288" borderId="0" xfId="0" applyFont="1" applyFill="1" applyAlignment="1">
      <alignment horizontal="center"/>
    </xf>
    <xf numFmtId="0" fontId="4" fillId="289" borderId="0" xfId="0" applyFont="1" applyFill="1" applyAlignment="1">
      <alignment horizontal="center"/>
    </xf>
    <xf numFmtId="2" fontId="4" fillId="290" borderId="0" xfId="0" applyNumberFormat="1" applyFont="1" applyFill="1" applyAlignment="1">
      <alignment horizontal="center"/>
    </xf>
    <xf numFmtId="0" fontId="4" fillId="291" borderId="0" xfId="0" applyFont="1" applyFill="1" applyAlignment="1">
      <alignment horizontal="center"/>
    </xf>
    <xf numFmtId="0" fontId="4" fillId="24" borderId="0" xfId="0" applyFont="1" applyFill="1" applyAlignment="1">
      <alignment horizontal="center"/>
    </xf>
    <xf numFmtId="2" fontId="4" fillId="292" borderId="0" xfId="0" applyNumberFormat="1" applyFont="1" applyFill="1" applyAlignment="1">
      <alignment horizontal="center"/>
    </xf>
    <xf numFmtId="0" fontId="4" fillId="293" borderId="0" xfId="0" applyFont="1" applyFill="1" applyAlignment="1">
      <alignment horizontal="center"/>
    </xf>
    <xf numFmtId="0" fontId="4" fillId="294" borderId="0" xfId="0" applyFont="1" applyFill="1"/>
    <xf numFmtId="0" fontId="4" fillId="295" borderId="0" xfId="0" applyFont="1" applyFill="1" applyAlignment="1">
      <alignment horizontal="center"/>
    </xf>
    <xf numFmtId="0" fontId="4" fillId="296" borderId="0" xfId="0" applyFont="1" applyFill="1" applyAlignment="1">
      <alignment horizontal="center"/>
    </xf>
    <xf numFmtId="2" fontId="4" fillId="297" borderId="0" xfId="0" applyNumberFormat="1" applyFont="1" applyFill="1" applyAlignment="1">
      <alignment horizontal="center"/>
    </xf>
    <xf numFmtId="0" fontId="4" fillId="298" borderId="0" xfId="0" applyFont="1" applyFill="1" applyAlignment="1">
      <alignment horizontal="center"/>
    </xf>
    <xf numFmtId="0" fontId="4" fillId="299" borderId="0" xfId="0" applyFont="1" applyFill="1" applyAlignment="1">
      <alignment horizontal="center"/>
    </xf>
    <xf numFmtId="2" fontId="4" fillId="300" borderId="0" xfId="0" applyNumberFormat="1" applyFont="1" applyFill="1" applyAlignment="1">
      <alignment horizontal="center"/>
    </xf>
    <xf numFmtId="2" fontId="4" fillId="301" borderId="0" xfId="0" applyNumberFormat="1" applyFont="1" applyFill="1" applyAlignment="1">
      <alignment horizontal="center"/>
    </xf>
    <xf numFmtId="0" fontId="4" fillId="302" borderId="0" xfId="0" applyFont="1" applyFill="1" applyAlignment="1">
      <alignment horizontal="center"/>
    </xf>
    <xf numFmtId="0" fontId="4" fillId="302" borderId="0" xfId="0" applyFont="1" applyFill="1"/>
  </cellXfs>
  <cellStyles count="1">
    <cellStyle name="Normal" xfId="0" builtinId="0"/>
  </cellStyles>
  <dxfs count="23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ill>
        <patternFill>
          <bgColor rgb="FF0099CC"/>
        </patternFill>
      </fill>
    </dxf>
    <dxf>
      <font>
        <color rgb="FFFFFF00"/>
      </font>
      <fill>
        <patternFill>
          <bgColor rgb="FFFFEB9C"/>
        </patternFill>
      </fill>
    </dxf>
    <dxf>
      <font>
        <color rgb="FFFFFFCC"/>
      </font>
      <fill>
        <patternFill>
          <bgColor rgb="FF33CC33"/>
        </patternFill>
      </fill>
    </dxf>
    <dxf>
      <font>
        <color rgb="FFFFFFCC"/>
      </font>
      <fill>
        <patternFill>
          <bgColor rgb="FFFF3300"/>
        </patternFill>
      </fill>
    </dxf>
  </dxfs>
  <tableStyles count="0" defaultTableStyle="TableStyleMedium2" defaultPivotStyle="PivotStyleLight16"/>
  <colors>
    <mruColors>
      <color rgb="FF0066CC"/>
      <color rgb="FF0099CC"/>
      <color rgb="FFFFFFCC"/>
      <color rgb="FF00CC00"/>
      <color rgb="FF33CC33"/>
      <color rgb="FF0033CC"/>
      <color rgb="FFFF3300"/>
      <color rgb="FF33CCFF"/>
      <color rgb="FF0000FF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1A3301-E235-4075-A34A-0631507981AB}">
  <we:reference id="wa104379955" version="1.0.0.0" store="en-US" storeType="OMEX"/>
  <we:alternateReferences>
    <we:reference id="WA104379955" version="1.0.0.0" store="WA10437995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38"/>
  <sheetViews>
    <sheetView showGridLines="0" tabSelected="1" zoomScale="115" zoomScaleNormal="115" workbookViewId="0">
      <selection activeCell="N39" sqref="N39"/>
    </sheetView>
  </sheetViews>
  <sheetFormatPr defaultColWidth="9.140625" defaultRowHeight="12.75" x14ac:dyDescent="0.2"/>
  <cols>
    <col min="1" max="3" width="9.140625" style="1"/>
    <col min="4" max="4" width="17.42578125" style="1" bestFit="1" customWidth="1"/>
    <col min="5" max="5" width="9.140625" style="1" customWidth="1"/>
    <col min="6" max="6" width="9.140625" style="2"/>
    <col min="7" max="11" width="9.140625" style="1"/>
    <col min="12" max="12" width="11.140625" style="8" bestFit="1" customWidth="1"/>
    <col min="13" max="13" width="11.140625" style="8" customWidth="1"/>
    <col min="14" max="14" width="14.85546875" style="1" bestFit="1" customWidth="1"/>
    <col min="15" max="15" width="11.42578125" style="1" bestFit="1" customWidth="1"/>
    <col min="16" max="16" width="14.85546875" style="1" bestFit="1" customWidth="1"/>
    <col min="17" max="17" width="2.85546875" style="1" customWidth="1"/>
    <col min="18" max="18" width="18" style="1" customWidth="1"/>
    <col min="19" max="19" width="16" style="1" customWidth="1"/>
    <col min="20" max="20" width="17.5703125" style="1" customWidth="1"/>
    <col min="21" max="21" width="15.5703125" style="1" customWidth="1"/>
    <col min="22" max="22" width="16.5703125" style="1" customWidth="1"/>
    <col min="23" max="24" width="9.140625" style="1" customWidth="1"/>
    <col min="25" max="25" width="16.42578125" style="1" bestFit="1" customWidth="1"/>
    <col min="26" max="16384" width="9.140625" style="1"/>
  </cols>
  <sheetData>
    <row r="1" spans="1:28" ht="15.75" x14ac:dyDescent="0.25">
      <c r="A1" s="38" t="s">
        <v>24</v>
      </c>
      <c r="B1" s="38" t="s">
        <v>65</v>
      </c>
      <c r="C1" s="38" t="s">
        <v>25</v>
      </c>
      <c r="D1" s="39" t="s">
        <v>0</v>
      </c>
      <c r="E1" s="39" t="s">
        <v>2</v>
      </c>
      <c r="F1" s="40" t="s">
        <v>1</v>
      </c>
      <c r="G1" s="39" t="s">
        <v>12</v>
      </c>
      <c r="H1" s="39" t="s">
        <v>3</v>
      </c>
      <c r="I1" s="39" t="s">
        <v>4</v>
      </c>
      <c r="J1" s="39" t="s">
        <v>5</v>
      </c>
      <c r="K1" s="14"/>
      <c r="L1" s="15"/>
      <c r="M1" s="15"/>
    </row>
    <row r="2" spans="1:28" ht="13.5" x14ac:dyDescent="0.25">
      <c r="A2" s="59">
        <v>1</v>
      </c>
      <c r="B2" s="60">
        <v>1</v>
      </c>
      <c r="C2" s="322">
        <f t="shared" ref="C2:C35" si="0">B2-A2</f>
        <v>0</v>
      </c>
      <c r="D2" s="61" t="s">
        <v>48</v>
      </c>
      <c r="E2" s="62">
        <v>7</v>
      </c>
      <c r="F2" s="63">
        <v>1261</v>
      </c>
      <c r="G2" s="64">
        <f t="shared" ref="G2:G35" si="1">CEILING(F2/E2,1)</f>
        <v>181</v>
      </c>
      <c r="H2" s="65">
        <v>6</v>
      </c>
      <c r="I2" s="66">
        <v>1</v>
      </c>
      <c r="J2" s="67">
        <f t="shared" ref="J2:J35" si="2">(H2/E2)*100</f>
        <v>85.714285714285708</v>
      </c>
      <c r="K2" s="16"/>
      <c r="L2" s="15">
        <v>45348.325287962965</v>
      </c>
      <c r="M2" s="15"/>
      <c r="O2" s="4" t="s">
        <v>6</v>
      </c>
      <c r="P2" s="5" t="s">
        <v>7</v>
      </c>
      <c r="R2" s="1" t="s">
        <v>8</v>
      </c>
      <c r="S2" s="1" t="s">
        <v>9</v>
      </c>
      <c r="T2" s="1" t="s">
        <v>10</v>
      </c>
      <c r="U2" s="1" t="s">
        <v>11</v>
      </c>
      <c r="V2" s="1" t="s">
        <v>14</v>
      </c>
      <c r="W2" s="1" t="s">
        <v>14</v>
      </c>
    </row>
    <row r="3" spans="1:28" ht="13.5" x14ac:dyDescent="0.25">
      <c r="A3" s="68">
        <v>2</v>
      </c>
      <c r="B3" s="60">
        <v>2</v>
      </c>
      <c r="C3" s="322">
        <f t="shared" si="0"/>
        <v>0</v>
      </c>
      <c r="D3" s="61" t="s">
        <v>55</v>
      </c>
      <c r="E3" s="69">
        <v>5</v>
      </c>
      <c r="F3" s="70">
        <v>882</v>
      </c>
      <c r="G3" s="71">
        <f t="shared" si="1"/>
        <v>177</v>
      </c>
      <c r="H3" s="72">
        <v>4</v>
      </c>
      <c r="I3" s="73">
        <v>1</v>
      </c>
      <c r="J3" s="74">
        <f t="shared" si="2"/>
        <v>80</v>
      </c>
      <c r="K3" s="16"/>
      <c r="L3" s="15">
        <v>45108</v>
      </c>
      <c r="M3" s="15"/>
      <c r="O3" s="1" t="s">
        <v>54</v>
      </c>
      <c r="P3" s="1" t="s">
        <v>47</v>
      </c>
      <c r="R3" s="1">
        <f>VLOOKUP(O3,$D$2:$G$49,3,FALSE)</f>
        <v>1840</v>
      </c>
      <c r="S3" s="1">
        <f>VLOOKUP(P3,$D$2:$G$49,3,FALSE)</f>
        <v>836</v>
      </c>
      <c r="T3" s="1">
        <f>VLOOKUP(O3,$D$2:$G$49,4,FALSE)</f>
        <v>132</v>
      </c>
      <c r="U3" s="1">
        <f>VLOOKUP(P3,$D$2:$G$49,4,FALSE)</f>
        <v>76</v>
      </c>
      <c r="V3" s="1">
        <f>IF(T3&gt;U3,T3-U3,U3-T3)</f>
        <v>56</v>
      </c>
      <c r="W3" s="1">
        <f>T3-U3</f>
        <v>56</v>
      </c>
      <c r="Y3" s="1" t="s">
        <v>15</v>
      </c>
    </row>
    <row r="4" spans="1:28" ht="13.5" x14ac:dyDescent="0.25">
      <c r="A4" s="75">
        <v>3</v>
      </c>
      <c r="B4" s="60">
        <v>3</v>
      </c>
      <c r="C4" s="322">
        <f t="shared" si="0"/>
        <v>0</v>
      </c>
      <c r="D4" s="76" t="s">
        <v>32</v>
      </c>
      <c r="E4" s="77">
        <v>7</v>
      </c>
      <c r="F4" s="78">
        <v>1187</v>
      </c>
      <c r="G4" s="79">
        <f t="shared" si="1"/>
        <v>170</v>
      </c>
      <c r="H4" s="80">
        <v>5</v>
      </c>
      <c r="I4" s="81">
        <v>2</v>
      </c>
      <c r="J4" s="82">
        <f t="shared" si="2"/>
        <v>71.428571428571431</v>
      </c>
      <c r="K4" s="16"/>
      <c r="L4" s="15">
        <v>44877</v>
      </c>
      <c r="M4" s="15"/>
      <c r="N4" s="1" t="s">
        <v>13</v>
      </c>
      <c r="O4" s="4">
        <f>IF($V$3&lt;40,$U$3+50,IF($W$3&gt;0,$T$3+10,$T$3+90))</f>
        <v>142</v>
      </c>
      <c r="P4" s="4">
        <f>IF($V$3&lt;40,$T$3-50,IF($W$3&gt;0,$U$3-10,$U$3-90))</f>
        <v>66</v>
      </c>
      <c r="Y4" s="6" t="s">
        <v>26</v>
      </c>
      <c r="Z4" s="1" t="s">
        <v>19</v>
      </c>
      <c r="AA4" s="1" t="s">
        <v>20</v>
      </c>
      <c r="AB4" s="1" t="s">
        <v>21</v>
      </c>
    </row>
    <row r="5" spans="1:28" ht="13.5" x14ac:dyDescent="0.25">
      <c r="A5" s="83">
        <v>4</v>
      </c>
      <c r="B5" s="60">
        <v>4</v>
      </c>
      <c r="C5" s="322">
        <f t="shared" si="0"/>
        <v>0</v>
      </c>
      <c r="D5" s="84" t="s">
        <v>63</v>
      </c>
      <c r="E5" s="85">
        <v>9</v>
      </c>
      <c r="F5" s="86">
        <v>1488</v>
      </c>
      <c r="G5" s="87">
        <f t="shared" si="1"/>
        <v>166</v>
      </c>
      <c r="H5" s="88">
        <v>7</v>
      </c>
      <c r="I5" s="89">
        <v>2</v>
      </c>
      <c r="J5" s="90">
        <f t="shared" si="2"/>
        <v>77.777777777777786</v>
      </c>
      <c r="K5" s="16"/>
      <c r="L5" s="15">
        <v>45340.670043981481</v>
      </c>
      <c r="M5" s="15"/>
    </row>
    <row r="6" spans="1:28" ht="13.5" x14ac:dyDescent="0.25">
      <c r="A6" s="91">
        <v>5</v>
      </c>
      <c r="B6" s="60">
        <v>5</v>
      </c>
      <c r="C6" s="322">
        <f t="shared" si="0"/>
        <v>0</v>
      </c>
      <c r="D6" s="92" t="s">
        <v>57</v>
      </c>
      <c r="E6" s="93">
        <v>7</v>
      </c>
      <c r="F6" s="94">
        <v>1014</v>
      </c>
      <c r="G6" s="95">
        <f t="shared" si="1"/>
        <v>145</v>
      </c>
      <c r="H6" s="96">
        <v>6</v>
      </c>
      <c r="I6" s="97">
        <v>1</v>
      </c>
      <c r="J6" s="98">
        <f t="shared" si="2"/>
        <v>85.714285714285708</v>
      </c>
      <c r="K6" s="16"/>
      <c r="L6" s="15">
        <v>45032</v>
      </c>
      <c r="M6" s="15"/>
    </row>
    <row r="7" spans="1:28" ht="13.5" x14ac:dyDescent="0.25">
      <c r="A7" s="99">
        <v>6</v>
      </c>
      <c r="B7" s="60">
        <v>6</v>
      </c>
      <c r="C7" s="322">
        <f t="shared" si="0"/>
        <v>0</v>
      </c>
      <c r="D7" s="100" t="s">
        <v>38</v>
      </c>
      <c r="E7" s="101">
        <v>2</v>
      </c>
      <c r="F7" s="102">
        <v>273</v>
      </c>
      <c r="G7" s="103">
        <f t="shared" si="1"/>
        <v>137</v>
      </c>
      <c r="H7" s="104">
        <v>1</v>
      </c>
      <c r="I7" s="105">
        <v>1</v>
      </c>
      <c r="J7" s="106">
        <f t="shared" si="2"/>
        <v>50</v>
      </c>
      <c r="K7" s="16"/>
      <c r="L7" s="15">
        <v>45024</v>
      </c>
      <c r="M7" s="15"/>
    </row>
    <row r="8" spans="1:28" ht="13.5" x14ac:dyDescent="0.25">
      <c r="A8" s="107">
        <v>7</v>
      </c>
      <c r="B8" s="60">
        <v>7</v>
      </c>
      <c r="C8" s="322">
        <f t="shared" si="0"/>
        <v>0</v>
      </c>
      <c r="D8" s="108" t="s">
        <v>54</v>
      </c>
      <c r="E8" s="109">
        <v>14</v>
      </c>
      <c r="F8" s="110">
        <v>1840</v>
      </c>
      <c r="G8" s="111">
        <f t="shared" si="1"/>
        <v>132</v>
      </c>
      <c r="H8" s="112">
        <v>9</v>
      </c>
      <c r="I8" s="113">
        <v>5</v>
      </c>
      <c r="J8" s="114">
        <f t="shared" si="2"/>
        <v>64.285714285714292</v>
      </c>
      <c r="K8" s="16"/>
      <c r="L8" s="8">
        <f ca="1">NOW()</f>
        <v>45354.236746527778</v>
      </c>
      <c r="M8" s="15"/>
    </row>
    <row r="9" spans="1:28" ht="13.5" x14ac:dyDescent="0.25">
      <c r="A9" s="115">
        <v>8</v>
      </c>
      <c r="B9" s="60">
        <v>8</v>
      </c>
      <c r="C9" s="322">
        <f t="shared" si="0"/>
        <v>0</v>
      </c>
      <c r="D9" s="116" t="s">
        <v>59</v>
      </c>
      <c r="E9" s="117">
        <v>8</v>
      </c>
      <c r="F9" s="118">
        <v>1032</v>
      </c>
      <c r="G9" s="119">
        <f t="shared" si="1"/>
        <v>129</v>
      </c>
      <c r="H9" s="120">
        <v>6</v>
      </c>
      <c r="I9" s="121">
        <v>2</v>
      </c>
      <c r="J9" s="122">
        <f t="shared" si="2"/>
        <v>75</v>
      </c>
      <c r="K9" s="16"/>
      <c r="L9" s="15">
        <v>45136.552691435187</v>
      </c>
      <c r="M9" s="15"/>
    </row>
    <row r="10" spans="1:28" ht="13.5" x14ac:dyDescent="0.25">
      <c r="A10" s="123">
        <v>9</v>
      </c>
      <c r="B10" s="60">
        <v>9</v>
      </c>
      <c r="C10" s="322">
        <f t="shared" si="0"/>
        <v>0</v>
      </c>
      <c r="D10" s="124" t="s">
        <v>61</v>
      </c>
      <c r="E10" s="125">
        <v>9</v>
      </c>
      <c r="F10" s="126">
        <v>1153</v>
      </c>
      <c r="G10" s="127">
        <f t="shared" si="1"/>
        <v>129</v>
      </c>
      <c r="H10" s="128">
        <v>5</v>
      </c>
      <c r="I10" s="129">
        <v>4</v>
      </c>
      <c r="J10" s="130">
        <f t="shared" si="2"/>
        <v>55.555555555555557</v>
      </c>
      <c r="K10" s="16"/>
      <c r="L10" s="15">
        <v>45206</v>
      </c>
      <c r="M10" s="15"/>
      <c r="R10" s="1" t="s">
        <v>31</v>
      </c>
    </row>
    <row r="11" spans="1:28" ht="13.5" x14ac:dyDescent="0.25">
      <c r="A11" s="131">
        <v>10</v>
      </c>
      <c r="B11" s="60">
        <v>10</v>
      </c>
      <c r="C11" s="322">
        <f t="shared" si="0"/>
        <v>0</v>
      </c>
      <c r="D11" s="132" t="s">
        <v>62</v>
      </c>
      <c r="E11" s="133">
        <v>7</v>
      </c>
      <c r="F11" s="134">
        <v>890</v>
      </c>
      <c r="G11" s="135">
        <f t="shared" si="1"/>
        <v>128</v>
      </c>
      <c r="H11" s="136">
        <v>3</v>
      </c>
      <c r="I11" s="137">
        <v>4</v>
      </c>
      <c r="J11" s="138">
        <f t="shared" si="2"/>
        <v>42.857142857142854</v>
      </c>
      <c r="K11" s="16"/>
      <c r="L11" s="15">
        <v>45284</v>
      </c>
      <c r="M11" s="15"/>
    </row>
    <row r="12" spans="1:28" ht="13.5" x14ac:dyDescent="0.25">
      <c r="A12" s="139">
        <v>11</v>
      </c>
      <c r="B12" s="60">
        <v>11</v>
      </c>
      <c r="C12" s="322">
        <f t="shared" si="0"/>
        <v>0</v>
      </c>
      <c r="D12" s="140" t="s">
        <v>49</v>
      </c>
      <c r="E12" s="141">
        <v>2</v>
      </c>
      <c r="F12" s="142">
        <v>250</v>
      </c>
      <c r="G12" s="143">
        <f t="shared" si="1"/>
        <v>125</v>
      </c>
      <c r="H12" s="144">
        <v>1</v>
      </c>
      <c r="I12" s="145">
        <v>1</v>
      </c>
      <c r="J12" s="146">
        <f t="shared" si="2"/>
        <v>50</v>
      </c>
      <c r="K12" s="16"/>
      <c r="L12" s="15">
        <v>44859</v>
      </c>
      <c r="M12" s="15"/>
    </row>
    <row r="13" spans="1:28" ht="13.5" x14ac:dyDescent="0.25">
      <c r="A13" s="147">
        <v>12</v>
      </c>
      <c r="B13" s="60">
        <v>12</v>
      </c>
      <c r="C13" s="322">
        <f t="shared" si="0"/>
        <v>0</v>
      </c>
      <c r="D13" s="148" t="s">
        <v>45</v>
      </c>
      <c r="E13" s="149">
        <v>2</v>
      </c>
      <c r="F13" s="150">
        <v>250</v>
      </c>
      <c r="G13" s="151">
        <f t="shared" si="1"/>
        <v>125</v>
      </c>
      <c r="H13" s="152">
        <v>1</v>
      </c>
      <c r="I13" s="153">
        <v>1</v>
      </c>
      <c r="J13" s="154">
        <f t="shared" si="2"/>
        <v>50</v>
      </c>
      <c r="K13" s="16"/>
      <c r="L13" s="15">
        <v>44871</v>
      </c>
      <c r="M13" s="15"/>
      <c r="N13" s="1" t="s">
        <v>13</v>
      </c>
      <c r="O13" s="4">
        <v>141</v>
      </c>
      <c r="P13" s="4">
        <v>67</v>
      </c>
      <c r="Y13" s="1">
        <v>85</v>
      </c>
      <c r="Z13" s="1">
        <v>-5</v>
      </c>
    </row>
    <row r="14" spans="1:28" ht="13.5" x14ac:dyDescent="0.25">
      <c r="A14" s="155">
        <v>13</v>
      </c>
      <c r="B14" s="60">
        <v>13</v>
      </c>
      <c r="C14" s="322">
        <f t="shared" si="0"/>
        <v>0</v>
      </c>
      <c r="D14" s="156" t="s">
        <v>43</v>
      </c>
      <c r="E14" s="157">
        <v>10</v>
      </c>
      <c r="F14" s="158">
        <v>1239</v>
      </c>
      <c r="G14" s="159">
        <f t="shared" si="1"/>
        <v>124</v>
      </c>
      <c r="H14" s="160">
        <v>6</v>
      </c>
      <c r="I14" s="161">
        <v>4</v>
      </c>
      <c r="J14" s="162">
        <f t="shared" si="2"/>
        <v>60</v>
      </c>
      <c r="K14" s="16"/>
      <c r="L14" s="15">
        <v>45200</v>
      </c>
      <c r="M14" s="15"/>
      <c r="N14" s="1" t="s">
        <v>22</v>
      </c>
      <c r="O14" s="2">
        <v>1699</v>
      </c>
      <c r="P14" s="2">
        <v>769</v>
      </c>
    </row>
    <row r="15" spans="1:28" ht="13.5" x14ac:dyDescent="0.25">
      <c r="A15" s="163">
        <v>14</v>
      </c>
      <c r="B15" s="60">
        <v>14</v>
      </c>
      <c r="C15" s="322">
        <f t="shared" si="0"/>
        <v>0</v>
      </c>
      <c r="D15" s="164" t="s">
        <v>64</v>
      </c>
      <c r="E15" s="165">
        <v>8</v>
      </c>
      <c r="F15" s="166">
        <v>911</v>
      </c>
      <c r="G15" s="167">
        <f t="shared" si="1"/>
        <v>114</v>
      </c>
      <c r="H15" s="168">
        <v>4</v>
      </c>
      <c r="I15" s="169">
        <v>4</v>
      </c>
      <c r="J15" s="170">
        <f t="shared" si="2"/>
        <v>50</v>
      </c>
      <c r="K15" s="16"/>
      <c r="L15" s="15">
        <v>45284</v>
      </c>
      <c r="M15" s="15"/>
      <c r="N15" s="1" t="s">
        <v>23</v>
      </c>
      <c r="O15" s="37">
        <f>SUM(O13:O14)</f>
        <v>1840</v>
      </c>
      <c r="P15" s="36">
        <f>SUM(P13:P14)</f>
        <v>836</v>
      </c>
    </row>
    <row r="16" spans="1:28" ht="13.5" x14ac:dyDescent="0.25">
      <c r="A16" s="171">
        <v>15</v>
      </c>
      <c r="B16" s="60">
        <v>15</v>
      </c>
      <c r="C16" s="322">
        <f t="shared" si="0"/>
        <v>0</v>
      </c>
      <c r="D16" s="172" t="s">
        <v>51</v>
      </c>
      <c r="E16" s="173">
        <v>17</v>
      </c>
      <c r="F16" s="174">
        <v>1843</v>
      </c>
      <c r="G16" s="175">
        <f t="shared" si="1"/>
        <v>109</v>
      </c>
      <c r="H16" s="176">
        <v>7</v>
      </c>
      <c r="I16" s="177">
        <v>9</v>
      </c>
      <c r="J16" s="178">
        <f t="shared" si="2"/>
        <v>41.17647058823529</v>
      </c>
      <c r="K16" s="16"/>
      <c r="L16" s="15">
        <v>45164.94739976852</v>
      </c>
      <c r="M16" s="15"/>
      <c r="O16" s="7"/>
      <c r="Z16" s="1" t="s">
        <v>18</v>
      </c>
      <c r="AA16" s="1" t="s">
        <v>16</v>
      </c>
    </row>
    <row r="17" spans="1:27" ht="13.5" x14ac:dyDescent="0.25">
      <c r="A17" s="179">
        <v>16</v>
      </c>
      <c r="B17" s="60">
        <v>16</v>
      </c>
      <c r="C17" s="322">
        <f t="shared" si="0"/>
        <v>0</v>
      </c>
      <c r="D17" s="196" t="s">
        <v>42</v>
      </c>
      <c r="E17" s="197">
        <v>18</v>
      </c>
      <c r="F17" s="198">
        <v>1947</v>
      </c>
      <c r="G17" s="199">
        <f t="shared" si="1"/>
        <v>109</v>
      </c>
      <c r="H17" s="200">
        <v>10</v>
      </c>
      <c r="I17" s="201">
        <v>8</v>
      </c>
      <c r="J17" s="202">
        <f t="shared" si="2"/>
        <v>55.555555555555557</v>
      </c>
      <c r="K17" s="16"/>
      <c r="L17" s="15">
        <v>45346.557478819443</v>
      </c>
      <c r="M17" s="15"/>
      <c r="Z17" s="1" t="s">
        <v>18</v>
      </c>
      <c r="AA17" s="1" t="s">
        <v>17</v>
      </c>
    </row>
    <row r="18" spans="1:27" ht="13.5" x14ac:dyDescent="0.25">
      <c r="A18" s="187">
        <v>17</v>
      </c>
      <c r="B18" s="60">
        <v>17</v>
      </c>
      <c r="C18" s="322">
        <f t="shared" si="0"/>
        <v>0</v>
      </c>
      <c r="D18" s="180" t="s">
        <v>28</v>
      </c>
      <c r="E18" s="181">
        <v>14</v>
      </c>
      <c r="F18" s="182">
        <v>1496</v>
      </c>
      <c r="G18" s="183">
        <f t="shared" si="1"/>
        <v>107</v>
      </c>
      <c r="H18" s="184">
        <v>5</v>
      </c>
      <c r="I18" s="185">
        <v>9</v>
      </c>
      <c r="J18" s="186">
        <f t="shared" si="2"/>
        <v>35.714285714285715</v>
      </c>
      <c r="K18" s="16"/>
      <c r="L18" s="15">
        <v>45179.55841435185</v>
      </c>
      <c r="M18" s="15"/>
      <c r="Z18" s="1" t="s">
        <v>16</v>
      </c>
      <c r="AA18" s="1" t="s">
        <v>17</v>
      </c>
    </row>
    <row r="19" spans="1:27" ht="13.5" x14ac:dyDescent="0.25">
      <c r="A19" s="195">
        <v>18</v>
      </c>
      <c r="B19" s="60">
        <v>18</v>
      </c>
      <c r="C19" s="322">
        <f t="shared" si="0"/>
        <v>0</v>
      </c>
      <c r="D19" s="188" t="s">
        <v>35</v>
      </c>
      <c r="E19" s="189">
        <v>15</v>
      </c>
      <c r="F19" s="190">
        <v>1592</v>
      </c>
      <c r="G19" s="191">
        <f t="shared" si="1"/>
        <v>107</v>
      </c>
      <c r="H19" s="192">
        <v>8</v>
      </c>
      <c r="I19" s="193">
        <v>7</v>
      </c>
      <c r="J19" s="194">
        <f t="shared" si="2"/>
        <v>53.333333333333336</v>
      </c>
      <c r="K19" s="16"/>
      <c r="L19" s="15">
        <v>45018</v>
      </c>
      <c r="M19" s="15"/>
      <c r="O19" s="3"/>
    </row>
    <row r="20" spans="1:27" ht="13.5" x14ac:dyDescent="0.25">
      <c r="A20" s="203">
        <v>19</v>
      </c>
      <c r="B20" s="60">
        <v>19</v>
      </c>
      <c r="C20" s="322">
        <f t="shared" si="0"/>
        <v>0</v>
      </c>
      <c r="D20" s="204" t="s">
        <v>56</v>
      </c>
      <c r="E20" s="205">
        <v>16</v>
      </c>
      <c r="F20" s="206">
        <v>1639</v>
      </c>
      <c r="G20" s="207">
        <f t="shared" si="1"/>
        <v>103</v>
      </c>
      <c r="H20" s="208">
        <v>8</v>
      </c>
      <c r="I20" s="209">
        <v>8</v>
      </c>
      <c r="J20" s="210">
        <f t="shared" si="2"/>
        <v>50</v>
      </c>
      <c r="K20" s="16"/>
      <c r="L20" s="15">
        <v>45283</v>
      </c>
      <c r="M20" s="15"/>
    </row>
    <row r="21" spans="1:27" ht="13.5" x14ac:dyDescent="0.25">
      <c r="A21" s="211">
        <v>20</v>
      </c>
      <c r="B21" s="60">
        <v>20</v>
      </c>
      <c r="C21" s="322">
        <f t="shared" si="0"/>
        <v>0</v>
      </c>
      <c r="D21" s="212" t="s">
        <v>29</v>
      </c>
      <c r="E21" s="213">
        <v>12</v>
      </c>
      <c r="F21" s="214">
        <v>1215</v>
      </c>
      <c r="G21" s="215">
        <f t="shared" si="1"/>
        <v>102</v>
      </c>
      <c r="H21" s="216">
        <v>7</v>
      </c>
      <c r="I21" s="217">
        <v>5</v>
      </c>
      <c r="J21" s="218">
        <f t="shared" si="2"/>
        <v>58.333333333333336</v>
      </c>
      <c r="K21" s="16"/>
      <c r="L21" s="15">
        <v>44814</v>
      </c>
      <c r="M21" s="15"/>
      <c r="O21" s="9" t="s">
        <v>30</v>
      </c>
      <c r="P21" s="8">
        <f ca="1">NOW()</f>
        <v>45354.236746527778</v>
      </c>
    </row>
    <row r="22" spans="1:27" ht="13.5" x14ac:dyDescent="0.25">
      <c r="A22" s="219">
        <v>21</v>
      </c>
      <c r="B22" s="60">
        <v>21</v>
      </c>
      <c r="C22" s="322">
        <f t="shared" si="0"/>
        <v>0</v>
      </c>
      <c r="D22" s="220" t="s">
        <v>60</v>
      </c>
      <c r="E22" s="221">
        <v>5</v>
      </c>
      <c r="F22" s="222">
        <v>503</v>
      </c>
      <c r="G22" s="223">
        <f t="shared" si="1"/>
        <v>101</v>
      </c>
      <c r="H22" s="224">
        <v>2</v>
      </c>
      <c r="I22" s="225">
        <v>3</v>
      </c>
      <c r="J22" s="226">
        <f t="shared" si="2"/>
        <v>40</v>
      </c>
      <c r="K22" s="16"/>
      <c r="L22" s="15">
        <v>45080</v>
      </c>
      <c r="M22" s="15"/>
    </row>
    <row r="23" spans="1:27" ht="13.5" x14ac:dyDescent="0.25">
      <c r="A23" s="227">
        <v>22</v>
      </c>
      <c r="B23" s="60">
        <v>22</v>
      </c>
      <c r="C23" s="322">
        <f t="shared" si="0"/>
        <v>0</v>
      </c>
      <c r="D23" s="228" t="s">
        <v>39</v>
      </c>
      <c r="E23" s="229">
        <v>12</v>
      </c>
      <c r="F23" s="230">
        <v>1212</v>
      </c>
      <c r="G23" s="231">
        <f t="shared" si="1"/>
        <v>101</v>
      </c>
      <c r="H23" s="232">
        <v>6</v>
      </c>
      <c r="I23" s="233">
        <v>6</v>
      </c>
      <c r="J23" s="234">
        <f t="shared" si="2"/>
        <v>50</v>
      </c>
      <c r="K23" s="16"/>
      <c r="L23" s="15">
        <v>45136.552764120373</v>
      </c>
      <c r="M23" s="15"/>
    </row>
    <row r="24" spans="1:27" ht="13.5" x14ac:dyDescent="0.25">
      <c r="A24" s="235">
        <v>23</v>
      </c>
      <c r="B24" s="60">
        <v>23</v>
      </c>
      <c r="C24" s="322">
        <f t="shared" si="0"/>
        <v>0</v>
      </c>
      <c r="D24" s="236" t="s">
        <v>37</v>
      </c>
      <c r="E24" s="237">
        <v>6</v>
      </c>
      <c r="F24" s="238">
        <v>579</v>
      </c>
      <c r="G24" s="239">
        <f t="shared" si="1"/>
        <v>97</v>
      </c>
      <c r="H24" s="240">
        <v>2</v>
      </c>
      <c r="I24" s="241">
        <v>4</v>
      </c>
      <c r="J24" s="242">
        <f t="shared" si="2"/>
        <v>33.333333333333329</v>
      </c>
      <c r="K24" s="16"/>
      <c r="L24" s="15">
        <v>45038</v>
      </c>
      <c r="M24" s="15"/>
    </row>
    <row r="25" spans="1:27" ht="13.5" x14ac:dyDescent="0.25">
      <c r="A25" s="243">
        <v>24</v>
      </c>
      <c r="B25" s="60">
        <v>24</v>
      </c>
      <c r="C25" s="322">
        <f t="shared" si="0"/>
        <v>0</v>
      </c>
      <c r="D25" s="244" t="s">
        <v>53</v>
      </c>
      <c r="E25" s="245">
        <v>15</v>
      </c>
      <c r="F25" s="246">
        <v>1374</v>
      </c>
      <c r="G25" s="247">
        <f t="shared" si="1"/>
        <v>92</v>
      </c>
      <c r="H25" s="248">
        <v>7</v>
      </c>
      <c r="I25" s="249">
        <v>8</v>
      </c>
      <c r="J25" s="250">
        <f t="shared" si="2"/>
        <v>46.666666666666664</v>
      </c>
      <c r="K25" s="16"/>
      <c r="L25" s="15">
        <v>45262</v>
      </c>
      <c r="M25" s="15"/>
    </row>
    <row r="26" spans="1:27" ht="13.5" x14ac:dyDescent="0.25">
      <c r="A26" s="251">
        <v>25</v>
      </c>
      <c r="B26" s="60">
        <v>25</v>
      </c>
      <c r="C26" s="322">
        <f t="shared" si="0"/>
        <v>0</v>
      </c>
      <c r="D26" s="252" t="s">
        <v>46</v>
      </c>
      <c r="E26" s="253">
        <v>9</v>
      </c>
      <c r="F26" s="254">
        <v>812</v>
      </c>
      <c r="G26" s="255">
        <f t="shared" si="1"/>
        <v>91</v>
      </c>
      <c r="H26" s="256">
        <v>3</v>
      </c>
      <c r="I26" s="257">
        <v>6</v>
      </c>
      <c r="J26" s="258">
        <f t="shared" si="2"/>
        <v>33.333333333333329</v>
      </c>
      <c r="K26" s="16"/>
      <c r="L26" s="15">
        <v>45185.558495370373</v>
      </c>
      <c r="M26" s="15"/>
    </row>
    <row r="27" spans="1:27" ht="13.5" x14ac:dyDescent="0.25">
      <c r="A27" s="259">
        <v>26</v>
      </c>
      <c r="B27" s="60">
        <v>26</v>
      </c>
      <c r="C27" s="322">
        <f t="shared" si="0"/>
        <v>0</v>
      </c>
      <c r="D27" s="260" t="s">
        <v>36</v>
      </c>
      <c r="E27" s="261">
        <v>21</v>
      </c>
      <c r="F27" s="262">
        <v>1903</v>
      </c>
      <c r="G27" s="263">
        <f t="shared" si="1"/>
        <v>91</v>
      </c>
      <c r="H27" s="264">
        <v>8</v>
      </c>
      <c r="I27" s="265">
        <v>13</v>
      </c>
      <c r="J27" s="266">
        <f t="shared" si="2"/>
        <v>38.095238095238095</v>
      </c>
      <c r="K27" s="16"/>
      <c r="L27" s="15">
        <v>45268</v>
      </c>
      <c r="M27" s="15"/>
    </row>
    <row r="28" spans="1:27" ht="13.5" x14ac:dyDescent="0.25">
      <c r="A28" s="267">
        <v>27</v>
      </c>
      <c r="B28" s="60">
        <v>27</v>
      </c>
      <c r="C28" s="322">
        <f t="shared" si="0"/>
        <v>0</v>
      </c>
      <c r="D28" s="268" t="s">
        <v>33</v>
      </c>
      <c r="E28" s="269">
        <v>4</v>
      </c>
      <c r="F28" s="270">
        <v>328</v>
      </c>
      <c r="G28" s="271">
        <f t="shared" si="1"/>
        <v>82</v>
      </c>
      <c r="H28" s="272">
        <v>2</v>
      </c>
      <c r="I28" s="273">
        <v>2</v>
      </c>
      <c r="J28" s="274">
        <f t="shared" si="2"/>
        <v>50</v>
      </c>
      <c r="K28" s="16"/>
      <c r="L28" s="15">
        <v>44807</v>
      </c>
      <c r="M28" s="15"/>
    </row>
    <row r="29" spans="1:27" ht="13.5" x14ac:dyDescent="0.25">
      <c r="A29" s="275">
        <v>28</v>
      </c>
      <c r="B29" s="60">
        <v>28</v>
      </c>
      <c r="C29" s="322">
        <f t="shared" si="0"/>
        <v>0</v>
      </c>
      <c r="D29" s="276" t="s">
        <v>47</v>
      </c>
      <c r="E29" s="277">
        <v>11</v>
      </c>
      <c r="F29" s="278">
        <v>836</v>
      </c>
      <c r="G29" s="279">
        <f t="shared" si="1"/>
        <v>76</v>
      </c>
      <c r="H29" s="280">
        <v>4</v>
      </c>
      <c r="I29" s="281">
        <v>7</v>
      </c>
      <c r="J29" s="282">
        <f t="shared" si="2"/>
        <v>36.363636363636367</v>
      </c>
      <c r="K29" s="16"/>
      <c r="L29" s="8">
        <f ca="1">NOW()</f>
        <v>45354.236746527778</v>
      </c>
      <c r="M29" s="15"/>
    </row>
    <row r="30" spans="1:27" ht="13.5" x14ac:dyDescent="0.25">
      <c r="A30" s="283">
        <v>29</v>
      </c>
      <c r="B30" s="60">
        <v>29</v>
      </c>
      <c r="C30" s="322">
        <f t="shared" si="0"/>
        <v>0</v>
      </c>
      <c r="D30" s="284" t="s">
        <v>58</v>
      </c>
      <c r="E30" s="285">
        <v>4</v>
      </c>
      <c r="F30" s="286">
        <v>278</v>
      </c>
      <c r="G30" s="287">
        <f t="shared" si="1"/>
        <v>70</v>
      </c>
      <c r="H30" s="288">
        <v>1</v>
      </c>
      <c r="I30" s="289">
        <v>3</v>
      </c>
      <c r="J30" s="290">
        <f t="shared" si="2"/>
        <v>25</v>
      </c>
      <c r="K30" s="16"/>
      <c r="L30" s="15">
        <v>44941</v>
      </c>
      <c r="M30" s="15"/>
    </row>
    <row r="31" spans="1:27" ht="13.5" x14ac:dyDescent="0.25">
      <c r="A31" s="291">
        <v>30</v>
      </c>
      <c r="B31" s="60">
        <v>30</v>
      </c>
      <c r="C31" s="322">
        <f t="shared" si="0"/>
        <v>0</v>
      </c>
      <c r="D31" s="292" t="s">
        <v>40</v>
      </c>
      <c r="E31" s="293">
        <v>5</v>
      </c>
      <c r="F31" s="294">
        <v>303</v>
      </c>
      <c r="G31" s="295">
        <f t="shared" si="1"/>
        <v>61</v>
      </c>
      <c r="H31" s="296">
        <v>1</v>
      </c>
      <c r="I31" s="297">
        <v>4</v>
      </c>
      <c r="J31" s="298">
        <f t="shared" si="2"/>
        <v>20</v>
      </c>
      <c r="K31" s="16"/>
      <c r="L31" s="15">
        <v>45059</v>
      </c>
      <c r="M31" s="15"/>
    </row>
    <row r="32" spans="1:27" ht="13.5" x14ac:dyDescent="0.25">
      <c r="A32" s="299">
        <v>31</v>
      </c>
      <c r="B32" s="60">
        <v>31</v>
      </c>
      <c r="C32" s="322">
        <f t="shared" si="0"/>
        <v>0</v>
      </c>
      <c r="D32" s="300" t="s">
        <v>41</v>
      </c>
      <c r="E32" s="301">
        <v>1</v>
      </c>
      <c r="F32" s="302">
        <v>50</v>
      </c>
      <c r="G32" s="303">
        <f t="shared" si="1"/>
        <v>50</v>
      </c>
      <c r="H32" s="304">
        <v>0</v>
      </c>
      <c r="I32" s="305">
        <v>1</v>
      </c>
      <c r="J32" s="306">
        <f t="shared" si="2"/>
        <v>0</v>
      </c>
      <c r="K32" s="16"/>
      <c r="L32" s="15">
        <v>44835</v>
      </c>
      <c r="M32" s="15"/>
    </row>
    <row r="33" spans="1:13" ht="13.5" x14ac:dyDescent="0.25">
      <c r="A33" s="307">
        <v>32</v>
      </c>
      <c r="B33" s="60">
        <v>32</v>
      </c>
      <c r="C33" s="322">
        <f t="shared" si="0"/>
        <v>0</v>
      </c>
      <c r="D33" s="43" t="s">
        <v>44</v>
      </c>
      <c r="E33" s="44">
        <v>1</v>
      </c>
      <c r="F33" s="308">
        <v>50</v>
      </c>
      <c r="G33" s="309">
        <f t="shared" si="1"/>
        <v>50</v>
      </c>
      <c r="H33" s="310">
        <v>0</v>
      </c>
      <c r="I33" s="311">
        <v>1</v>
      </c>
      <c r="J33" s="312">
        <f t="shared" si="2"/>
        <v>0</v>
      </c>
      <c r="K33" s="16"/>
      <c r="L33" s="15">
        <v>44836</v>
      </c>
      <c r="M33" s="15"/>
    </row>
    <row r="34" spans="1:13" ht="13.5" x14ac:dyDescent="0.25">
      <c r="A34" s="313">
        <v>33</v>
      </c>
      <c r="B34" s="60">
        <v>33</v>
      </c>
      <c r="C34" s="322">
        <f t="shared" si="0"/>
        <v>0</v>
      </c>
      <c r="D34" s="314" t="s">
        <v>50</v>
      </c>
      <c r="E34" s="315">
        <v>1</v>
      </c>
      <c r="F34" s="316">
        <v>50</v>
      </c>
      <c r="G34" s="317">
        <f t="shared" si="1"/>
        <v>50</v>
      </c>
      <c r="H34" s="318">
        <v>0</v>
      </c>
      <c r="I34" s="319">
        <v>1</v>
      </c>
      <c r="J34" s="320">
        <f t="shared" si="2"/>
        <v>0</v>
      </c>
      <c r="K34" s="16"/>
      <c r="L34" s="15">
        <v>44843</v>
      </c>
      <c r="M34" s="15"/>
    </row>
    <row r="35" spans="1:13" ht="13.5" x14ac:dyDescent="0.25">
      <c r="A35" s="45">
        <v>34</v>
      </c>
      <c r="B35" s="60">
        <v>34</v>
      </c>
      <c r="C35" s="322">
        <f t="shared" si="0"/>
        <v>0</v>
      </c>
      <c r="D35" s="46" t="s">
        <v>52</v>
      </c>
      <c r="E35" s="47">
        <v>1</v>
      </c>
      <c r="F35" s="48">
        <v>50</v>
      </c>
      <c r="G35" s="321">
        <f t="shared" si="1"/>
        <v>50</v>
      </c>
      <c r="H35" s="49">
        <v>0</v>
      </c>
      <c r="I35" s="50">
        <v>1</v>
      </c>
      <c r="J35" s="42">
        <f t="shared" si="2"/>
        <v>0</v>
      </c>
      <c r="K35" s="13"/>
      <c r="L35" s="15">
        <v>44849</v>
      </c>
      <c r="M35" s="15"/>
    </row>
    <row r="36" spans="1:13" ht="13.5" x14ac:dyDescent="0.25">
      <c r="A36" s="51"/>
      <c r="B36" s="52"/>
      <c r="C36" s="323"/>
      <c r="D36" s="53"/>
      <c r="E36" s="54"/>
      <c r="F36" s="55"/>
      <c r="G36" s="56"/>
      <c r="H36" s="57"/>
      <c r="I36" s="58"/>
      <c r="J36" s="41"/>
      <c r="K36" s="16"/>
      <c r="L36" s="15"/>
      <c r="M36" s="15"/>
    </row>
    <row r="37" spans="1:13" x14ac:dyDescent="0.2">
      <c r="G37" s="3"/>
      <c r="J37" s="3"/>
      <c r="K37" s="3"/>
    </row>
    <row r="38" spans="1:13" x14ac:dyDescent="0.2">
      <c r="G38" s="3"/>
      <c r="J38" s="3"/>
      <c r="K38" s="3"/>
    </row>
  </sheetData>
  <sortState xmlns:xlrd2="http://schemas.microsoft.com/office/spreadsheetml/2017/richdata2" ref="B1:L35">
    <sortCondition descending="1" ref="G1:G35"/>
    <sortCondition ref="E1:E35"/>
    <sortCondition descending="1" ref="J1:J35"/>
  </sortState>
  <dataConsolidate/>
  <conditionalFormatting sqref="C2:C38">
    <cfRule type="cellIs" dxfId="22" priority="32" operator="lessThan">
      <formula>0</formula>
    </cfRule>
    <cfRule type="cellIs" dxfId="21" priority="33" operator="greaterThan">
      <formula>0</formula>
    </cfRule>
  </conditionalFormatting>
  <conditionalFormatting sqref="C2:C38">
    <cfRule type="cellIs" dxfId="20" priority="31" operator="equal">
      <formula>0</formula>
    </cfRule>
  </conditionalFormatting>
  <conditionalFormatting sqref="C2:C38">
    <cfRule type="cellIs" dxfId="19" priority="30" operator="equal">
      <formula>0</formula>
    </cfRule>
  </conditionalFormatting>
  <conditionalFormatting sqref="D42:D67 D2:D37">
    <cfRule type="cellIs" dxfId="18" priority="29" operator="equal">
      <formula>$O$3</formula>
    </cfRule>
  </conditionalFormatting>
  <conditionalFormatting sqref="D42:D67 D2:D37">
    <cfRule type="cellIs" dxfId="17" priority="28" operator="equal">
      <formula>$P$3</formula>
    </cfRule>
  </conditionalFormatting>
  <conditionalFormatting sqref="D38">
    <cfRule type="cellIs" dxfId="16" priority="17" operator="equal">
      <formula>$O$3</formula>
    </cfRule>
  </conditionalFormatting>
  <conditionalFormatting sqref="D38">
    <cfRule type="cellIs" dxfId="15" priority="16" operator="equal">
      <formula>$P$3</formula>
    </cfRule>
  </conditionalFormatting>
  <conditionalFormatting sqref="L1:M1 L3:M7 L30:M1048576 M29 L9:M28 M8">
    <cfRule type="cellIs" dxfId="14" priority="15" operator="lessThan">
      <formula>EDATE($P$21,-18)</formula>
    </cfRule>
  </conditionalFormatting>
  <conditionalFormatting sqref="M2">
    <cfRule type="cellIs" dxfId="13" priority="8" operator="lessThan">
      <formula>EDATE($P$21,-18)</formula>
    </cfRule>
  </conditionalFormatting>
  <conditionalFormatting sqref="O15">
    <cfRule type="cellIs" dxfId="12" priority="7" operator="equal">
      <formula>$O$3</formula>
    </cfRule>
  </conditionalFormatting>
  <conditionalFormatting sqref="O15">
    <cfRule type="cellIs" dxfId="11" priority="6" operator="equal">
      <formula>$P$3</formula>
    </cfRule>
  </conditionalFormatting>
  <conditionalFormatting sqref="P15">
    <cfRule type="cellIs" dxfId="10" priority="3" operator="equal">
      <formula>$O$3</formula>
    </cfRule>
  </conditionalFormatting>
  <conditionalFormatting sqref="P15">
    <cfRule type="cellIs" dxfId="9" priority="2" operator="equal">
      <formula>$P$3</formula>
    </cfRule>
  </conditionalFormatting>
  <conditionalFormatting sqref="L2">
    <cfRule type="cellIs" dxfId="8" priority="1" operator="lessThan">
      <formula>EDATE($P$21,-18)</formula>
    </cfRule>
  </conditionalFormatting>
  <dataValidations disablePrompts="1" count="2">
    <dataValidation type="list" allowBlank="1" showInputMessage="1" showErrorMessage="1" sqref="Z4" xr:uid="{00000000-0002-0000-0000-000000000000}">
      <formula1>$D$2:$D$17</formula1>
    </dataValidation>
    <dataValidation type="list" allowBlank="1" showInputMessage="1" showErrorMessage="1" sqref="O3:P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B960D-FE1A-4D0C-A87E-CE44F2DFC702}">
  <dimension ref="A1:L33"/>
  <sheetViews>
    <sheetView workbookViewId="0">
      <selection activeCell="W20" sqref="W20"/>
    </sheetView>
  </sheetViews>
  <sheetFormatPr defaultRowHeight="15" x14ac:dyDescent="0.25"/>
  <cols>
    <col min="12" max="12" width="11.140625" bestFit="1" customWidth="1"/>
  </cols>
  <sheetData>
    <row r="1" spans="1:12" x14ac:dyDescent="0.25">
      <c r="A1" s="17" t="s">
        <v>24</v>
      </c>
      <c r="B1" s="18" t="s">
        <v>27</v>
      </c>
      <c r="C1" s="19" t="s">
        <v>25</v>
      </c>
      <c r="D1" s="20" t="s">
        <v>0</v>
      </c>
      <c r="E1" s="21" t="s">
        <v>2</v>
      </c>
      <c r="F1" s="22" t="s">
        <v>1</v>
      </c>
      <c r="G1" s="11" t="s">
        <v>12</v>
      </c>
      <c r="H1" s="23" t="s">
        <v>3</v>
      </c>
      <c r="I1" s="24" t="s">
        <v>4</v>
      </c>
      <c r="J1" s="25" t="s">
        <v>5</v>
      </c>
      <c r="K1" s="26"/>
      <c r="L1" s="27"/>
    </row>
    <row r="2" spans="1:12" x14ac:dyDescent="0.25">
      <c r="A2" s="17">
        <v>1</v>
      </c>
      <c r="B2" s="18">
        <v>1</v>
      </c>
      <c r="C2" s="19">
        <f t="shared" ref="C2:C33" si="0">B2-A2</f>
        <v>0</v>
      </c>
      <c r="D2" s="10" t="s">
        <v>48</v>
      </c>
      <c r="E2" s="28">
        <v>4</v>
      </c>
      <c r="F2" s="29">
        <v>780</v>
      </c>
      <c r="G2" s="12">
        <f t="shared" ref="G2:G33" si="1">CEILING(F2/E2,1)</f>
        <v>195</v>
      </c>
      <c r="H2" s="30">
        <v>4</v>
      </c>
      <c r="I2" s="31">
        <v>0</v>
      </c>
      <c r="J2" s="32">
        <f t="shared" ref="J2:J33" si="2">(H2/E2)*100</f>
        <v>100</v>
      </c>
      <c r="K2" s="33"/>
      <c r="L2" s="27">
        <v>44885</v>
      </c>
    </row>
    <row r="3" spans="1:12" x14ac:dyDescent="0.25">
      <c r="A3" s="17">
        <v>2</v>
      </c>
      <c r="B3" s="18">
        <v>2</v>
      </c>
      <c r="C3" s="19">
        <f t="shared" si="0"/>
        <v>0</v>
      </c>
      <c r="D3" s="10" t="s">
        <v>55</v>
      </c>
      <c r="E3" s="28">
        <v>5</v>
      </c>
      <c r="F3" s="29">
        <v>882</v>
      </c>
      <c r="G3" s="12">
        <f t="shared" si="1"/>
        <v>177</v>
      </c>
      <c r="H3" s="30">
        <v>4</v>
      </c>
      <c r="I3" s="31">
        <v>1</v>
      </c>
      <c r="J3" s="32">
        <f t="shared" si="2"/>
        <v>80</v>
      </c>
      <c r="K3" s="33"/>
      <c r="L3" s="27">
        <v>45108</v>
      </c>
    </row>
    <row r="4" spans="1:12" x14ac:dyDescent="0.25">
      <c r="A4" s="17">
        <v>3</v>
      </c>
      <c r="B4" s="18">
        <v>3</v>
      </c>
      <c r="C4" s="19">
        <f t="shared" si="0"/>
        <v>0</v>
      </c>
      <c r="D4" s="10" t="s">
        <v>32</v>
      </c>
      <c r="E4" s="28">
        <v>7</v>
      </c>
      <c r="F4" s="29">
        <v>1187</v>
      </c>
      <c r="G4" s="12">
        <f t="shared" si="1"/>
        <v>170</v>
      </c>
      <c r="H4" s="30">
        <v>5</v>
      </c>
      <c r="I4" s="31">
        <v>2</v>
      </c>
      <c r="J4" s="32">
        <f t="shared" si="2"/>
        <v>71.428571428571431</v>
      </c>
      <c r="K4" s="33"/>
      <c r="L4" s="27">
        <v>44877</v>
      </c>
    </row>
    <row r="5" spans="1:12" x14ac:dyDescent="0.25">
      <c r="A5" s="17">
        <v>4</v>
      </c>
      <c r="B5" s="18">
        <v>4</v>
      </c>
      <c r="C5" s="19">
        <f t="shared" si="0"/>
        <v>0</v>
      </c>
      <c r="D5" s="10" t="s">
        <v>61</v>
      </c>
      <c r="E5" s="28">
        <v>2</v>
      </c>
      <c r="F5" s="29">
        <v>290</v>
      </c>
      <c r="G5" s="12">
        <f t="shared" si="1"/>
        <v>145</v>
      </c>
      <c r="H5" s="30">
        <v>1</v>
      </c>
      <c r="I5" s="31">
        <v>1</v>
      </c>
      <c r="J5" s="32">
        <f t="shared" si="2"/>
        <v>50</v>
      </c>
      <c r="K5" s="33"/>
      <c r="L5" s="27">
        <v>45131.921001157411</v>
      </c>
    </row>
    <row r="6" spans="1:12" x14ac:dyDescent="0.25">
      <c r="A6" s="17">
        <v>5</v>
      </c>
      <c r="B6" s="18">
        <v>5</v>
      </c>
      <c r="C6" s="19">
        <f t="shared" si="0"/>
        <v>0</v>
      </c>
      <c r="D6" s="10" t="s">
        <v>57</v>
      </c>
      <c r="E6" s="28">
        <v>7</v>
      </c>
      <c r="F6" s="29">
        <v>1014</v>
      </c>
      <c r="G6" s="12">
        <f t="shared" si="1"/>
        <v>145</v>
      </c>
      <c r="H6" s="30">
        <v>6</v>
      </c>
      <c r="I6" s="31">
        <v>1</v>
      </c>
      <c r="J6" s="32">
        <f t="shared" si="2"/>
        <v>85.714285714285708</v>
      </c>
      <c r="K6" s="33"/>
      <c r="L6" s="27">
        <v>45032</v>
      </c>
    </row>
    <row r="7" spans="1:12" x14ac:dyDescent="0.25">
      <c r="A7" s="17">
        <v>6</v>
      </c>
      <c r="B7" s="18">
        <v>6</v>
      </c>
      <c r="C7" s="19">
        <f t="shared" si="0"/>
        <v>0</v>
      </c>
      <c r="D7" s="10" t="s">
        <v>38</v>
      </c>
      <c r="E7" s="28">
        <v>2</v>
      </c>
      <c r="F7" s="29">
        <v>273</v>
      </c>
      <c r="G7" s="12">
        <f t="shared" si="1"/>
        <v>137</v>
      </c>
      <c r="H7" s="30">
        <v>1</v>
      </c>
      <c r="I7" s="31">
        <v>1</v>
      </c>
      <c r="J7" s="32">
        <f t="shared" si="2"/>
        <v>50</v>
      </c>
      <c r="K7" s="33"/>
      <c r="L7" s="27">
        <v>45024</v>
      </c>
    </row>
    <row r="8" spans="1:12" x14ac:dyDescent="0.25">
      <c r="A8" s="17">
        <v>7</v>
      </c>
      <c r="B8" s="18">
        <v>7</v>
      </c>
      <c r="C8" s="19">
        <f t="shared" si="0"/>
        <v>0</v>
      </c>
      <c r="D8" s="10" t="s">
        <v>59</v>
      </c>
      <c r="E8" s="28">
        <v>8</v>
      </c>
      <c r="F8" s="29">
        <v>1032</v>
      </c>
      <c r="G8" s="12">
        <f t="shared" si="1"/>
        <v>129</v>
      </c>
      <c r="H8" s="30">
        <v>6</v>
      </c>
      <c r="I8" s="31">
        <v>2</v>
      </c>
      <c r="J8" s="32">
        <f t="shared" si="2"/>
        <v>75</v>
      </c>
      <c r="K8" s="33"/>
      <c r="L8" s="27">
        <v>45136.552691435187</v>
      </c>
    </row>
    <row r="9" spans="1:12" x14ac:dyDescent="0.25">
      <c r="A9" s="17">
        <v>8</v>
      </c>
      <c r="B9" s="18">
        <v>8</v>
      </c>
      <c r="C9" s="19">
        <f t="shared" si="0"/>
        <v>0</v>
      </c>
      <c r="D9" s="10" t="s">
        <v>49</v>
      </c>
      <c r="E9" s="28">
        <v>2</v>
      </c>
      <c r="F9" s="29">
        <v>250</v>
      </c>
      <c r="G9" s="12">
        <f t="shared" si="1"/>
        <v>125</v>
      </c>
      <c r="H9" s="30">
        <v>1</v>
      </c>
      <c r="I9" s="31">
        <v>1</v>
      </c>
      <c r="J9" s="32">
        <f t="shared" si="2"/>
        <v>50</v>
      </c>
      <c r="K9" s="33"/>
      <c r="L9" s="34">
        <v>44859</v>
      </c>
    </row>
    <row r="10" spans="1:12" x14ac:dyDescent="0.25">
      <c r="A10" s="17">
        <v>9</v>
      </c>
      <c r="B10" s="18">
        <v>9</v>
      </c>
      <c r="C10" s="19">
        <f t="shared" si="0"/>
        <v>0</v>
      </c>
      <c r="D10" s="10" t="s">
        <v>45</v>
      </c>
      <c r="E10" s="28">
        <v>2</v>
      </c>
      <c r="F10" s="29">
        <v>250</v>
      </c>
      <c r="G10" s="12">
        <f t="shared" si="1"/>
        <v>125</v>
      </c>
      <c r="H10" s="30">
        <v>1</v>
      </c>
      <c r="I10" s="31">
        <v>1</v>
      </c>
      <c r="J10" s="32">
        <f t="shared" si="2"/>
        <v>50</v>
      </c>
      <c r="K10" s="33"/>
      <c r="L10" s="27">
        <v>44871</v>
      </c>
    </row>
    <row r="11" spans="1:12" x14ac:dyDescent="0.25">
      <c r="A11" s="17">
        <v>10</v>
      </c>
      <c r="B11" s="18">
        <v>10</v>
      </c>
      <c r="C11" s="19">
        <f t="shared" si="0"/>
        <v>0</v>
      </c>
      <c r="D11" s="10" t="s">
        <v>51</v>
      </c>
      <c r="E11" s="28">
        <v>12</v>
      </c>
      <c r="F11" s="29">
        <v>1432</v>
      </c>
      <c r="G11" s="12">
        <f t="shared" si="1"/>
        <v>120</v>
      </c>
      <c r="H11" s="30">
        <v>6</v>
      </c>
      <c r="I11" s="31">
        <v>6</v>
      </c>
      <c r="J11" s="32">
        <f t="shared" si="2"/>
        <v>50</v>
      </c>
      <c r="K11" s="33"/>
      <c r="L11" s="27">
        <v>45131.921080208333</v>
      </c>
    </row>
    <row r="12" spans="1:12" x14ac:dyDescent="0.25">
      <c r="A12" s="17">
        <v>11</v>
      </c>
      <c r="B12" s="18">
        <v>11</v>
      </c>
      <c r="C12" s="19">
        <f t="shared" si="0"/>
        <v>0</v>
      </c>
      <c r="D12" s="10" t="s">
        <v>54</v>
      </c>
      <c r="E12" s="28">
        <v>3</v>
      </c>
      <c r="F12" s="29">
        <v>348</v>
      </c>
      <c r="G12" s="12">
        <f t="shared" si="1"/>
        <v>116</v>
      </c>
      <c r="H12" s="30">
        <v>2</v>
      </c>
      <c r="I12" s="31">
        <v>1</v>
      </c>
      <c r="J12" s="32">
        <f t="shared" si="2"/>
        <v>66.666666666666657</v>
      </c>
      <c r="K12" s="33"/>
      <c r="L12" s="27">
        <v>44941</v>
      </c>
    </row>
    <row r="13" spans="1:12" x14ac:dyDescent="0.25">
      <c r="A13" s="17">
        <v>12</v>
      </c>
      <c r="B13" s="18">
        <v>12</v>
      </c>
      <c r="C13" s="19">
        <f t="shared" si="0"/>
        <v>0</v>
      </c>
      <c r="D13" s="10" t="s">
        <v>43</v>
      </c>
      <c r="E13" s="28">
        <v>2</v>
      </c>
      <c r="F13" s="29">
        <v>225</v>
      </c>
      <c r="G13" s="12">
        <f t="shared" si="1"/>
        <v>113</v>
      </c>
      <c r="H13" s="30">
        <v>1</v>
      </c>
      <c r="I13" s="31">
        <v>1</v>
      </c>
      <c r="J13" s="32">
        <f t="shared" si="2"/>
        <v>50</v>
      </c>
      <c r="K13" s="33"/>
      <c r="L13" s="27">
        <v>44885</v>
      </c>
    </row>
    <row r="14" spans="1:12" x14ac:dyDescent="0.25">
      <c r="A14" s="17">
        <v>13</v>
      </c>
      <c r="B14" s="18">
        <v>13</v>
      </c>
      <c r="C14" s="19">
        <f t="shared" si="0"/>
        <v>0</v>
      </c>
      <c r="D14" s="10" t="s">
        <v>35</v>
      </c>
      <c r="E14" s="28">
        <v>15</v>
      </c>
      <c r="F14" s="29">
        <v>1592</v>
      </c>
      <c r="G14" s="12">
        <f t="shared" si="1"/>
        <v>107</v>
      </c>
      <c r="H14" s="30">
        <v>8</v>
      </c>
      <c r="I14" s="31">
        <v>7</v>
      </c>
      <c r="J14" s="32">
        <f t="shared" si="2"/>
        <v>53.333333333333336</v>
      </c>
      <c r="K14" s="33"/>
      <c r="L14" s="27">
        <v>45018</v>
      </c>
    </row>
    <row r="15" spans="1:12" x14ac:dyDescent="0.25">
      <c r="A15" s="17">
        <v>14</v>
      </c>
      <c r="B15" s="18">
        <v>14</v>
      </c>
      <c r="C15" s="19">
        <f t="shared" si="0"/>
        <v>0</v>
      </c>
      <c r="D15" s="10" t="s">
        <v>56</v>
      </c>
      <c r="E15" s="28">
        <v>9</v>
      </c>
      <c r="F15" s="29">
        <v>947</v>
      </c>
      <c r="G15" s="12">
        <f t="shared" si="1"/>
        <v>106</v>
      </c>
      <c r="H15" s="30">
        <v>4</v>
      </c>
      <c r="I15" s="31">
        <v>4</v>
      </c>
      <c r="J15" s="32">
        <f t="shared" si="2"/>
        <v>44.444444444444443</v>
      </c>
      <c r="K15" s="33"/>
      <c r="L15" s="27">
        <v>45124.378568287037</v>
      </c>
    </row>
    <row r="16" spans="1:12" x14ac:dyDescent="0.25">
      <c r="A16" s="17">
        <v>15</v>
      </c>
      <c r="B16" s="18">
        <v>20</v>
      </c>
      <c r="C16" s="19">
        <f t="shared" si="0"/>
        <v>5</v>
      </c>
      <c r="D16" s="10" t="s">
        <v>28</v>
      </c>
      <c r="E16" s="28">
        <v>9</v>
      </c>
      <c r="F16" s="29">
        <v>933</v>
      </c>
      <c r="G16" s="12">
        <f t="shared" si="1"/>
        <v>104</v>
      </c>
      <c r="H16" s="30">
        <v>3</v>
      </c>
      <c r="I16" s="31">
        <v>6</v>
      </c>
      <c r="J16" s="32">
        <f t="shared" si="2"/>
        <v>33.333333333333329</v>
      </c>
      <c r="K16" s="33"/>
      <c r="L16" s="27">
        <v>45137.731394560185</v>
      </c>
    </row>
    <row r="17" spans="1:12" x14ac:dyDescent="0.25">
      <c r="A17" s="17">
        <v>16</v>
      </c>
      <c r="B17" s="18">
        <v>15</v>
      </c>
      <c r="C17" s="19">
        <f t="shared" si="0"/>
        <v>-1</v>
      </c>
      <c r="D17" s="10" t="s">
        <v>42</v>
      </c>
      <c r="E17" s="28">
        <v>14</v>
      </c>
      <c r="F17" s="29">
        <v>1450</v>
      </c>
      <c r="G17" s="12">
        <f t="shared" si="1"/>
        <v>104</v>
      </c>
      <c r="H17" s="30">
        <v>8</v>
      </c>
      <c r="I17" s="31">
        <v>6</v>
      </c>
      <c r="J17" s="32">
        <f t="shared" si="2"/>
        <v>57.142857142857139</v>
      </c>
      <c r="K17" s="33"/>
      <c r="L17" s="27">
        <v>44821</v>
      </c>
    </row>
    <row r="18" spans="1:12" x14ac:dyDescent="0.25">
      <c r="A18" s="17">
        <v>17</v>
      </c>
      <c r="B18" s="18">
        <v>16</v>
      </c>
      <c r="C18" s="19">
        <f t="shared" si="0"/>
        <v>-1</v>
      </c>
      <c r="D18" s="10" t="s">
        <v>29</v>
      </c>
      <c r="E18" s="28">
        <v>12</v>
      </c>
      <c r="F18" s="29">
        <v>1215</v>
      </c>
      <c r="G18" s="12">
        <f t="shared" si="1"/>
        <v>102</v>
      </c>
      <c r="H18" s="30">
        <v>7</v>
      </c>
      <c r="I18" s="31">
        <v>5</v>
      </c>
      <c r="J18" s="32">
        <f t="shared" si="2"/>
        <v>58.333333333333336</v>
      </c>
      <c r="K18" s="33"/>
      <c r="L18" s="27">
        <v>44814</v>
      </c>
    </row>
    <row r="19" spans="1:12" x14ac:dyDescent="0.25">
      <c r="A19" s="17">
        <v>18</v>
      </c>
      <c r="B19" s="18">
        <v>17</v>
      </c>
      <c r="C19" s="19">
        <f t="shared" si="0"/>
        <v>-1</v>
      </c>
      <c r="D19" s="10" t="s">
        <v>60</v>
      </c>
      <c r="E19" s="28">
        <v>5</v>
      </c>
      <c r="F19" s="29">
        <v>503</v>
      </c>
      <c r="G19" s="12">
        <f t="shared" si="1"/>
        <v>101</v>
      </c>
      <c r="H19" s="30">
        <v>2</v>
      </c>
      <c r="I19" s="31">
        <v>3</v>
      </c>
      <c r="J19" s="32">
        <f t="shared" si="2"/>
        <v>40</v>
      </c>
      <c r="K19" s="33"/>
      <c r="L19" s="27">
        <v>45080</v>
      </c>
    </row>
    <row r="20" spans="1:12" x14ac:dyDescent="0.25">
      <c r="A20" s="17">
        <v>19</v>
      </c>
      <c r="B20" s="18">
        <v>18</v>
      </c>
      <c r="C20" s="19">
        <f t="shared" si="0"/>
        <v>-1</v>
      </c>
      <c r="D20" s="10" t="s">
        <v>39</v>
      </c>
      <c r="E20" s="28">
        <v>12</v>
      </c>
      <c r="F20" s="29">
        <v>1212</v>
      </c>
      <c r="G20" s="12">
        <f t="shared" si="1"/>
        <v>101</v>
      </c>
      <c r="H20" s="30">
        <v>6</v>
      </c>
      <c r="I20" s="31">
        <v>6</v>
      </c>
      <c r="J20" s="32">
        <f t="shared" si="2"/>
        <v>50</v>
      </c>
      <c r="K20" s="33"/>
      <c r="L20" s="27">
        <v>45136.552764120373</v>
      </c>
    </row>
    <row r="21" spans="1:12" x14ac:dyDescent="0.25">
      <c r="A21" s="17">
        <v>20</v>
      </c>
      <c r="B21" s="18">
        <v>19</v>
      </c>
      <c r="C21" s="19">
        <f t="shared" si="0"/>
        <v>-1</v>
      </c>
      <c r="D21" s="10" t="s">
        <v>36</v>
      </c>
      <c r="E21" s="28">
        <v>15</v>
      </c>
      <c r="F21" s="29">
        <v>1492</v>
      </c>
      <c r="G21" s="12">
        <f t="shared" si="1"/>
        <v>100</v>
      </c>
      <c r="H21" s="30">
        <v>6</v>
      </c>
      <c r="I21" s="31">
        <v>9</v>
      </c>
      <c r="J21" s="32">
        <f t="shared" si="2"/>
        <v>40</v>
      </c>
      <c r="K21" s="33"/>
      <c r="L21" s="27">
        <v>44807</v>
      </c>
    </row>
    <row r="22" spans="1:12" x14ac:dyDescent="0.25">
      <c r="A22" s="17">
        <v>21</v>
      </c>
      <c r="B22" s="18">
        <v>21</v>
      </c>
      <c r="C22" s="19">
        <f t="shared" si="0"/>
        <v>0</v>
      </c>
      <c r="D22" s="10" t="s">
        <v>37</v>
      </c>
      <c r="E22" s="28">
        <v>6</v>
      </c>
      <c r="F22" s="29">
        <v>579</v>
      </c>
      <c r="G22" s="12">
        <f t="shared" si="1"/>
        <v>97</v>
      </c>
      <c r="H22" s="30">
        <v>2</v>
      </c>
      <c r="I22" s="31">
        <v>4</v>
      </c>
      <c r="J22" s="32">
        <f t="shared" si="2"/>
        <v>33.333333333333329</v>
      </c>
      <c r="K22" s="33"/>
      <c r="L22" s="27">
        <v>45038</v>
      </c>
    </row>
    <row r="23" spans="1:12" x14ac:dyDescent="0.25">
      <c r="A23" s="17">
        <v>22</v>
      </c>
      <c r="B23" s="18">
        <v>23</v>
      </c>
      <c r="C23" s="19">
        <f t="shared" si="0"/>
        <v>1</v>
      </c>
      <c r="D23" s="10" t="s">
        <v>33</v>
      </c>
      <c r="E23" s="28">
        <v>4</v>
      </c>
      <c r="F23" s="29">
        <v>328</v>
      </c>
      <c r="G23" s="12">
        <f t="shared" si="1"/>
        <v>82</v>
      </c>
      <c r="H23" s="30">
        <v>2</v>
      </c>
      <c r="I23" s="31">
        <v>2</v>
      </c>
      <c r="J23" s="32">
        <f t="shared" si="2"/>
        <v>50</v>
      </c>
      <c r="K23" s="33"/>
      <c r="L23" s="27">
        <v>44807</v>
      </c>
    </row>
    <row r="24" spans="1:12" x14ac:dyDescent="0.25">
      <c r="A24" s="17">
        <v>23</v>
      </c>
      <c r="B24" s="18">
        <v>24</v>
      </c>
      <c r="C24" s="19">
        <f t="shared" si="0"/>
        <v>1</v>
      </c>
      <c r="D24" s="10" t="s">
        <v>47</v>
      </c>
      <c r="E24" s="28">
        <v>8</v>
      </c>
      <c r="F24" s="29">
        <v>641</v>
      </c>
      <c r="G24" s="12">
        <f t="shared" si="1"/>
        <v>81</v>
      </c>
      <c r="H24" s="30">
        <v>4</v>
      </c>
      <c r="I24" s="31">
        <v>4</v>
      </c>
      <c r="J24" s="32">
        <f t="shared" si="2"/>
        <v>50</v>
      </c>
      <c r="K24" s="33"/>
      <c r="L24" s="27">
        <v>45080</v>
      </c>
    </row>
    <row r="25" spans="1:12" x14ac:dyDescent="0.25">
      <c r="A25" s="17">
        <v>24</v>
      </c>
      <c r="B25" s="18">
        <v>22</v>
      </c>
      <c r="C25" s="19">
        <f t="shared" si="0"/>
        <v>-2</v>
      </c>
      <c r="D25" s="10" t="s">
        <v>46</v>
      </c>
      <c r="E25" s="28">
        <v>3</v>
      </c>
      <c r="F25" s="29">
        <v>239</v>
      </c>
      <c r="G25" s="12">
        <f t="shared" si="1"/>
        <v>80</v>
      </c>
      <c r="H25" s="30">
        <v>1</v>
      </c>
      <c r="I25" s="31">
        <v>2</v>
      </c>
      <c r="J25" s="32">
        <f t="shared" si="2"/>
        <v>33.333333333333329</v>
      </c>
      <c r="K25" s="33"/>
      <c r="L25" s="27">
        <v>45137.731543981485</v>
      </c>
    </row>
    <row r="26" spans="1:12" x14ac:dyDescent="0.25">
      <c r="A26" s="17">
        <v>25</v>
      </c>
      <c r="B26" s="18">
        <v>25</v>
      </c>
      <c r="C26" s="19">
        <f t="shared" si="0"/>
        <v>0</v>
      </c>
      <c r="D26" s="10" t="s">
        <v>58</v>
      </c>
      <c r="E26" s="28">
        <v>4</v>
      </c>
      <c r="F26" s="29">
        <v>278</v>
      </c>
      <c r="G26" s="12">
        <f t="shared" si="1"/>
        <v>70</v>
      </c>
      <c r="H26" s="30">
        <v>1</v>
      </c>
      <c r="I26" s="31">
        <v>3</v>
      </c>
      <c r="J26" s="32">
        <f t="shared" si="2"/>
        <v>25</v>
      </c>
      <c r="K26" s="33"/>
      <c r="L26" s="27">
        <v>44941</v>
      </c>
    </row>
    <row r="27" spans="1:12" x14ac:dyDescent="0.25">
      <c r="A27" s="17">
        <v>26</v>
      </c>
      <c r="B27" s="18">
        <v>26</v>
      </c>
      <c r="C27" s="19">
        <f t="shared" si="0"/>
        <v>0</v>
      </c>
      <c r="D27" s="10" t="s">
        <v>40</v>
      </c>
      <c r="E27" s="28">
        <v>5</v>
      </c>
      <c r="F27" s="29">
        <v>303</v>
      </c>
      <c r="G27" s="12">
        <f t="shared" si="1"/>
        <v>61</v>
      </c>
      <c r="H27" s="30">
        <v>1</v>
      </c>
      <c r="I27" s="31">
        <v>4</v>
      </c>
      <c r="J27" s="32">
        <f t="shared" si="2"/>
        <v>20</v>
      </c>
      <c r="K27" s="33"/>
      <c r="L27" s="27">
        <v>45059</v>
      </c>
    </row>
    <row r="28" spans="1:12" x14ac:dyDescent="0.25">
      <c r="A28" s="17">
        <v>27</v>
      </c>
      <c r="B28" s="18">
        <v>27</v>
      </c>
      <c r="C28" s="19">
        <f t="shared" si="0"/>
        <v>0</v>
      </c>
      <c r="D28" s="10" t="s">
        <v>53</v>
      </c>
      <c r="E28" s="28">
        <v>9</v>
      </c>
      <c r="F28" s="29">
        <v>538</v>
      </c>
      <c r="G28" s="12">
        <f t="shared" si="1"/>
        <v>60</v>
      </c>
      <c r="H28" s="30">
        <v>3</v>
      </c>
      <c r="I28" s="31">
        <v>6</v>
      </c>
      <c r="J28" s="32">
        <f t="shared" si="2"/>
        <v>33.333333333333329</v>
      </c>
      <c r="K28" s="33"/>
      <c r="L28" s="27">
        <v>45073</v>
      </c>
    </row>
    <row r="29" spans="1:12" x14ac:dyDescent="0.25">
      <c r="A29" s="17">
        <v>28</v>
      </c>
      <c r="B29" s="18">
        <v>28</v>
      </c>
      <c r="C29" s="19">
        <f t="shared" si="0"/>
        <v>0</v>
      </c>
      <c r="D29" s="10" t="s">
        <v>41</v>
      </c>
      <c r="E29" s="28">
        <v>1</v>
      </c>
      <c r="F29" s="29">
        <v>50</v>
      </c>
      <c r="G29" s="12">
        <f t="shared" si="1"/>
        <v>50</v>
      </c>
      <c r="H29" s="30">
        <v>0</v>
      </c>
      <c r="I29" s="31">
        <v>1</v>
      </c>
      <c r="J29" s="32">
        <f t="shared" si="2"/>
        <v>0</v>
      </c>
      <c r="K29" s="33"/>
      <c r="L29" s="27">
        <v>44835</v>
      </c>
    </row>
    <row r="30" spans="1:12" x14ac:dyDescent="0.25">
      <c r="A30" s="17">
        <v>29</v>
      </c>
      <c r="B30" s="18">
        <v>29</v>
      </c>
      <c r="C30" s="19">
        <f t="shared" si="0"/>
        <v>0</v>
      </c>
      <c r="D30" s="10" t="s">
        <v>44</v>
      </c>
      <c r="E30" s="28">
        <v>1</v>
      </c>
      <c r="F30" s="29">
        <v>50</v>
      </c>
      <c r="G30" s="12">
        <f t="shared" si="1"/>
        <v>50</v>
      </c>
      <c r="H30" s="30">
        <v>0</v>
      </c>
      <c r="I30" s="31">
        <v>1</v>
      </c>
      <c r="J30" s="32">
        <f t="shared" si="2"/>
        <v>0</v>
      </c>
      <c r="K30" s="33"/>
      <c r="L30" s="27">
        <v>44836</v>
      </c>
    </row>
    <row r="31" spans="1:12" x14ac:dyDescent="0.25">
      <c r="A31" s="17">
        <v>30</v>
      </c>
      <c r="B31" s="18">
        <v>30</v>
      </c>
      <c r="C31" s="19">
        <f t="shared" si="0"/>
        <v>0</v>
      </c>
      <c r="D31" s="10" t="s">
        <v>50</v>
      </c>
      <c r="E31" s="28">
        <v>1</v>
      </c>
      <c r="F31" s="29">
        <v>50</v>
      </c>
      <c r="G31" s="12">
        <f t="shared" si="1"/>
        <v>50</v>
      </c>
      <c r="H31" s="30">
        <v>0</v>
      </c>
      <c r="I31" s="31">
        <v>1</v>
      </c>
      <c r="J31" s="32">
        <f t="shared" si="2"/>
        <v>0</v>
      </c>
      <c r="K31" s="33"/>
      <c r="L31" s="27">
        <v>44843</v>
      </c>
    </row>
    <row r="32" spans="1:12" x14ac:dyDescent="0.25">
      <c r="A32" s="17">
        <v>31</v>
      </c>
      <c r="B32" s="18">
        <v>31</v>
      </c>
      <c r="C32" s="19">
        <f t="shared" si="0"/>
        <v>0</v>
      </c>
      <c r="D32" s="10" t="s">
        <v>52</v>
      </c>
      <c r="E32" s="28">
        <v>1</v>
      </c>
      <c r="F32" s="29">
        <v>50</v>
      </c>
      <c r="G32" s="12">
        <f t="shared" si="1"/>
        <v>50</v>
      </c>
      <c r="H32" s="30">
        <v>0</v>
      </c>
      <c r="I32" s="31">
        <v>1</v>
      </c>
      <c r="J32" s="32">
        <f t="shared" si="2"/>
        <v>0</v>
      </c>
      <c r="K32" s="35"/>
      <c r="L32" s="27">
        <v>44849</v>
      </c>
    </row>
    <row r="33" spans="1:12" x14ac:dyDescent="0.25">
      <c r="A33" s="17">
        <v>32</v>
      </c>
      <c r="B33" s="18">
        <v>32</v>
      </c>
      <c r="C33" s="19">
        <f t="shared" si="0"/>
        <v>0</v>
      </c>
      <c r="D33" s="10" t="s">
        <v>34</v>
      </c>
      <c r="E33" s="28">
        <v>3</v>
      </c>
      <c r="F33" s="29">
        <v>85</v>
      </c>
      <c r="G33" s="12">
        <f t="shared" si="1"/>
        <v>29</v>
      </c>
      <c r="H33" s="30">
        <v>0</v>
      </c>
      <c r="I33" s="31">
        <v>3</v>
      </c>
      <c r="J33" s="32">
        <f t="shared" si="2"/>
        <v>0</v>
      </c>
      <c r="K33" s="33"/>
      <c r="L33" s="27">
        <v>44723</v>
      </c>
    </row>
  </sheetData>
  <conditionalFormatting sqref="C2:C33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C2:C33">
    <cfRule type="cellIs" dxfId="5" priority="6" operator="equal">
      <formula>0</formula>
    </cfRule>
  </conditionalFormatting>
  <conditionalFormatting sqref="C2:C33">
    <cfRule type="cellIs" dxfId="4" priority="5" operator="equal">
      <formula>0</formula>
    </cfRule>
  </conditionalFormatting>
  <conditionalFormatting sqref="D2:D33">
    <cfRule type="cellIs" dxfId="3" priority="4" operator="equal">
      <formula>$N$3</formula>
    </cfRule>
  </conditionalFormatting>
  <conditionalFormatting sqref="D2:D33">
    <cfRule type="cellIs" dxfId="2" priority="3" operator="equal">
      <formula>$O$3</formula>
    </cfRule>
  </conditionalFormatting>
  <conditionalFormatting sqref="L1 L3:L33">
    <cfRule type="cellIs" dxfId="1" priority="2" operator="lessThan">
      <formula>EDATE($O$21,-18)</formula>
    </cfRule>
  </conditionalFormatting>
  <conditionalFormatting sqref="L2">
    <cfRule type="cellIs" dxfId="0" priority="1" operator="lessThan">
      <formula>EDATE($O$21,-18)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2024-03-02T21:41:47Z</dcterms:modified>
</cp:coreProperties>
</file>