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8E1A2429-FBA8-4369-9508-57A42849F040}" xr6:coauthVersionLast="47" xr6:coauthVersionMax="47" xr10:uidLastSave="{00000000-0000-0000-0000-000000000000}"/>
  <bookViews>
    <workbookView xWindow="-120" yWindow="-120" windowWidth="38640" windowHeight="15840" activeTab="1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3" i="12" l="1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C2" i="10"/>
  <c r="G2" i="10"/>
  <c r="J2" i="10"/>
  <c r="C3" i="10"/>
  <c r="G3" i="10"/>
  <c r="J3" i="10"/>
  <c r="C4" i="10"/>
  <c r="G4" i="10"/>
  <c r="J4" i="10"/>
  <c r="C5" i="10"/>
  <c r="G5" i="10"/>
  <c r="J5" i="10"/>
  <c r="C6" i="10"/>
  <c r="G6" i="10"/>
  <c r="J6" i="10"/>
  <c r="C7" i="10"/>
  <c r="G7" i="10"/>
  <c r="J7" i="10"/>
  <c r="C8" i="10"/>
  <c r="G8" i="10"/>
  <c r="J8" i="10"/>
  <c r="C9" i="10"/>
  <c r="G9" i="10"/>
  <c r="J9" i="10"/>
  <c r="C10" i="10"/>
  <c r="G10" i="10"/>
  <c r="J10" i="10"/>
  <c r="C11" i="10"/>
  <c r="G11" i="10"/>
  <c r="J11" i="10"/>
  <c r="C12" i="10"/>
  <c r="G12" i="10"/>
  <c r="J12" i="10"/>
  <c r="C13" i="10"/>
  <c r="G13" i="10"/>
  <c r="J13" i="10"/>
  <c r="C14" i="10"/>
  <c r="G14" i="10"/>
  <c r="J14" i="10"/>
  <c r="C15" i="10"/>
  <c r="G15" i="10"/>
  <c r="J15" i="10"/>
  <c r="C16" i="10"/>
  <c r="G16" i="10"/>
  <c r="J16" i="10"/>
  <c r="C17" i="10"/>
  <c r="G17" i="10"/>
  <c r="J17" i="10"/>
  <c r="C18" i="10"/>
  <c r="G18" i="10"/>
  <c r="J18" i="10"/>
  <c r="C19" i="10"/>
  <c r="G19" i="10"/>
  <c r="J19" i="10"/>
  <c r="C20" i="10"/>
  <c r="G20" i="10"/>
  <c r="J20" i="10"/>
  <c r="C21" i="10"/>
  <c r="G21" i="10"/>
  <c r="J21" i="10"/>
  <c r="C22" i="10"/>
  <c r="G22" i="10"/>
  <c r="J22" i="10"/>
  <c r="C23" i="10"/>
  <c r="G23" i="10"/>
  <c r="J23" i="10"/>
  <c r="C24" i="10"/>
  <c r="G24" i="10"/>
  <c r="J24" i="10"/>
  <c r="C25" i="10"/>
  <c r="G25" i="10"/>
  <c r="J25" i="10"/>
  <c r="C26" i="10"/>
  <c r="G26" i="10"/>
  <c r="J26" i="10"/>
  <c r="C27" i="10"/>
  <c r="G27" i="10"/>
  <c r="J27" i="10"/>
  <c r="C28" i="10"/>
  <c r="G28" i="10"/>
  <c r="J28" i="10"/>
  <c r="C29" i="10"/>
  <c r="G29" i="10"/>
  <c r="J29" i="10"/>
  <c r="C30" i="10"/>
  <c r="G30" i="10"/>
  <c r="J30" i="10"/>
  <c r="C31" i="10"/>
  <c r="G31" i="10"/>
  <c r="J31" i="10"/>
  <c r="C32" i="10"/>
  <c r="G32" i="10"/>
  <c r="J32" i="10"/>
  <c r="C33" i="10"/>
  <c r="G33" i="10"/>
  <c r="J33" i="10"/>
  <c r="C34" i="10"/>
  <c r="C35" i="10"/>
  <c r="N15" i="10"/>
  <c r="O15" i="10"/>
  <c r="O21" i="10"/>
  <c r="Q3" i="10" l="1"/>
  <c r="R3" i="10"/>
  <c r="S3" i="10" l="1"/>
  <c r="T3" i="10" l="1"/>
  <c r="V3" i="10" s="1"/>
  <c r="U3" i="10" l="1"/>
  <c r="N4" i="10" l="1"/>
  <c r="O4" i="10"/>
</calcChain>
</file>

<file path=xl/sharedStrings.xml><?xml version="1.0" encoding="utf-8"?>
<sst xmlns="http://schemas.openxmlformats.org/spreadsheetml/2006/main" count="111" uniqueCount="62">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</sst>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6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2" fillId="9" borderId="0" xfId="0" applyFont="1" applyFill="1"/>
    <xf numFmtId="0" fontId="1" fillId="10" borderId="0" xfId="0" applyFont="1" applyFill="1" applyAlignment="1">
      <alignment horizontal="center" vertical="center"/>
    </xf>
    <xf numFmtId="2" fontId="2" fillId="10" borderId="0" xfId="0" applyNumberFormat="1" applyFont="1" applyFill="1"/>
    <xf numFmtId="0" fontId="2" fillId="8" borderId="0" xfId="0" applyFont="1" applyFill="1"/>
    <xf numFmtId="0" fontId="1" fillId="8" borderId="0" xfId="0" applyFont="1" applyFill="1" applyAlignment="1">
      <alignment horizontal="center" vertical="center"/>
    </xf>
    <xf numFmtId="165" fontId="2" fillId="8" borderId="0" xfId="0" applyNumberFormat="1" applyFont="1" applyFill="1"/>
    <xf numFmtId="2" fontId="2" fillId="8" borderId="0" xfId="0" applyNumberFormat="1" applyFont="1" applyFill="1"/>
    <xf numFmtId="0" fontId="2" fillId="11" borderId="0" xfId="0" applyFont="1" applyFill="1"/>
    <xf numFmtId="0" fontId="2" fillId="12" borderId="0" xfId="0" applyFont="1" applyFill="1"/>
    <xf numFmtId="0" fontId="2" fillId="13" borderId="0" xfId="0" applyFont="1" applyFill="1"/>
    <xf numFmtId="0" fontId="1" fillId="9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center" vertical="center"/>
    </xf>
    <xf numFmtId="165" fontId="2" fillId="20" borderId="0" xfId="0" applyNumberFormat="1" applyFont="1" applyFill="1"/>
    <xf numFmtId="0" fontId="2" fillId="14" borderId="0" xfId="0" applyFont="1" applyFill="1"/>
    <xf numFmtId="0" fontId="2" fillId="15" borderId="0" xfId="0" applyFont="1" applyFill="1"/>
    <xf numFmtId="0" fontId="2" fillId="16" borderId="0" xfId="0" applyFont="1" applyFill="1"/>
    <xf numFmtId="0" fontId="2" fillId="17" borderId="0" xfId="0" applyFont="1" applyFill="1"/>
    <xf numFmtId="2" fontId="2" fillId="18" borderId="0" xfId="0" applyNumberFormat="1" applyFont="1" applyFill="1"/>
    <xf numFmtId="2" fontId="2" fillId="19" borderId="0" xfId="0" applyNumberFormat="1" applyFont="1" applyFill="1"/>
    <xf numFmtId="165" fontId="2" fillId="21" borderId="0" xfId="0" applyNumberFormat="1" applyFont="1" applyFill="1"/>
    <xf numFmtId="0" fontId="2" fillId="19" borderId="0" xfId="0" applyFont="1" applyFill="1"/>
  </cellXfs>
  <cellStyles count="1">
    <cellStyle name="Normal" xfId="0" builtinId="0"/>
  </cellStyles>
  <dxfs count="22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00FF"/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66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showGridLines="0" zoomScale="115" zoomScaleNormal="115" workbookViewId="0">
      <selection sqref="A1:L33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4.85546875" style="1" bestFit="1" customWidth="1"/>
    <col min="14" max="14" width="10.7109375" style="1" bestFit="1" customWidth="1"/>
    <col min="15" max="15" width="14.85546875" style="1" bestFit="1" customWidth="1"/>
    <col min="16" max="16" width="2.85546875" style="1" customWidth="1"/>
    <col min="17" max="17" width="18" style="1" customWidth="1"/>
    <col min="18" max="18" width="16" style="1" customWidth="1"/>
    <col min="19" max="19" width="17.5703125" style="1" customWidth="1"/>
    <col min="20" max="20" width="15.5703125" style="1" customWidth="1"/>
    <col min="21" max="21" width="16.5703125" style="1" customWidth="1"/>
    <col min="22" max="23" width="9.140625" style="1" customWidth="1"/>
    <col min="24" max="24" width="16.42578125" style="1" bestFit="1" customWidth="1"/>
    <col min="25" max="16384" width="9.140625" style="1"/>
  </cols>
  <sheetData>
    <row r="1" spans="1:27" x14ac:dyDescent="0.2">
      <c r="A1" s="15" t="s">
        <v>24</v>
      </c>
      <c r="B1" s="15" t="s">
        <v>27</v>
      </c>
      <c r="C1" s="15" t="s">
        <v>25</v>
      </c>
      <c r="D1" s="16" t="s">
        <v>0</v>
      </c>
      <c r="E1" s="16" t="s">
        <v>2</v>
      </c>
      <c r="F1" s="16" t="s">
        <v>1</v>
      </c>
      <c r="G1" s="16" t="s">
        <v>12</v>
      </c>
      <c r="H1" s="16" t="s">
        <v>3</v>
      </c>
      <c r="I1" s="16" t="s">
        <v>4</v>
      </c>
      <c r="J1" s="16" t="s">
        <v>5</v>
      </c>
      <c r="K1" s="16"/>
      <c r="L1" s="17"/>
    </row>
    <row r="2" spans="1:27" x14ac:dyDescent="0.2">
      <c r="A2" s="15">
        <v>1</v>
      </c>
      <c r="B2" s="15">
        <v>1</v>
      </c>
      <c r="C2" s="15">
        <f>B2-A2</f>
        <v>0</v>
      </c>
      <c r="D2" s="15" t="s">
        <v>48</v>
      </c>
      <c r="E2" s="15">
        <v>4</v>
      </c>
      <c r="F2" s="15">
        <v>780</v>
      </c>
      <c r="G2" s="18">
        <f>CEILING(F2/E2,1)</f>
        <v>195</v>
      </c>
      <c r="H2" s="15">
        <v>4</v>
      </c>
      <c r="I2" s="15">
        <v>0</v>
      </c>
      <c r="J2" s="18">
        <f>(H2/E2)*100</f>
        <v>100</v>
      </c>
      <c r="K2" s="18"/>
      <c r="L2" s="17">
        <v>44885</v>
      </c>
      <c r="N2" s="4" t="s">
        <v>6</v>
      </c>
      <c r="O2" s="5" t="s">
        <v>7</v>
      </c>
      <c r="Q2" s="1" t="s">
        <v>8</v>
      </c>
      <c r="R2" s="1" t="s">
        <v>9</v>
      </c>
      <c r="S2" s="1" t="s">
        <v>10</v>
      </c>
      <c r="T2" s="1" t="s">
        <v>11</v>
      </c>
      <c r="U2" s="1" t="s">
        <v>14</v>
      </c>
      <c r="V2" s="1" t="s">
        <v>14</v>
      </c>
    </row>
    <row r="3" spans="1:27" x14ac:dyDescent="0.2">
      <c r="A3" s="15">
        <v>2</v>
      </c>
      <c r="B3" s="15">
        <v>2</v>
      </c>
      <c r="C3" s="15">
        <f>B3-A3</f>
        <v>0</v>
      </c>
      <c r="D3" s="15" t="s">
        <v>55</v>
      </c>
      <c r="E3" s="15">
        <v>5</v>
      </c>
      <c r="F3" s="15">
        <v>882</v>
      </c>
      <c r="G3" s="18">
        <f>CEILING(F3/E3,1)</f>
        <v>177</v>
      </c>
      <c r="H3" s="15">
        <v>4</v>
      </c>
      <c r="I3" s="15">
        <v>1</v>
      </c>
      <c r="J3" s="18">
        <f>(H3/E3)*100</f>
        <v>80</v>
      </c>
      <c r="K3" s="18"/>
      <c r="L3" s="17">
        <v>45108</v>
      </c>
      <c r="N3" s="1" t="s">
        <v>28</v>
      </c>
      <c r="O3" s="1" t="s">
        <v>46</v>
      </c>
      <c r="Q3" s="1">
        <f>VLOOKUP(N3,$D$2:$G$49,3,FALSE)</f>
        <v>933</v>
      </c>
      <c r="R3" s="1">
        <f>VLOOKUP(O3,$D$2:$G$49,3,FALSE)</f>
        <v>239</v>
      </c>
      <c r="S3" s="1">
        <f>VLOOKUP(N3,$D$2:$G$49,4,FALSE)</f>
        <v>104</v>
      </c>
      <c r="T3" s="1">
        <f>VLOOKUP(O3,$D$2:$G$49,4,FALSE)</f>
        <v>80</v>
      </c>
      <c r="U3" s="1">
        <f>IF(S3&gt;T3,S3-T3,T3-S3)</f>
        <v>24</v>
      </c>
      <c r="V3" s="1">
        <f>S3-T3</f>
        <v>24</v>
      </c>
      <c r="X3" s="1" t="s">
        <v>15</v>
      </c>
    </row>
    <row r="4" spans="1:27" x14ac:dyDescent="0.2">
      <c r="A4" s="15">
        <v>3</v>
      </c>
      <c r="B4" s="15">
        <v>3</v>
      </c>
      <c r="C4" s="15">
        <f>B4-A4</f>
        <v>0</v>
      </c>
      <c r="D4" s="15" t="s">
        <v>32</v>
      </c>
      <c r="E4" s="15">
        <v>7</v>
      </c>
      <c r="F4" s="15">
        <v>1187</v>
      </c>
      <c r="G4" s="18">
        <f>CEILING(F4/E4,1)</f>
        <v>170</v>
      </c>
      <c r="H4" s="15">
        <v>5</v>
      </c>
      <c r="I4" s="15">
        <v>2</v>
      </c>
      <c r="J4" s="18">
        <f>(H4/E4)*100</f>
        <v>71.428571428571431</v>
      </c>
      <c r="K4" s="18"/>
      <c r="L4" s="17">
        <v>44877</v>
      </c>
      <c r="M4" s="1" t="s">
        <v>13</v>
      </c>
      <c r="N4" s="4">
        <f>IF($U$3&lt;40,$T$3+50,IF($V$3&gt;0,$S$3+10,$S$3+90))</f>
        <v>130</v>
      </c>
      <c r="O4" s="4">
        <f>IF($U$3&lt;40,$S$3-50,IF($V$3&gt;0,$T$3-10,$T$3-90))</f>
        <v>54</v>
      </c>
      <c r="X4" s="6" t="s">
        <v>26</v>
      </c>
      <c r="Y4" s="1" t="s">
        <v>19</v>
      </c>
      <c r="Z4" s="1" t="s">
        <v>20</v>
      </c>
      <c r="AA4" s="1" t="s">
        <v>21</v>
      </c>
    </row>
    <row r="5" spans="1:27" x14ac:dyDescent="0.2">
      <c r="A5" s="15">
        <v>4</v>
      </c>
      <c r="B5" s="15">
        <v>4</v>
      </c>
      <c r="C5" s="15">
        <f>B5-A5</f>
        <v>0</v>
      </c>
      <c r="D5" s="15" t="s">
        <v>61</v>
      </c>
      <c r="E5" s="15">
        <v>2</v>
      </c>
      <c r="F5" s="15">
        <v>290</v>
      </c>
      <c r="G5" s="18">
        <f>CEILING(F5/E5,1)</f>
        <v>145</v>
      </c>
      <c r="H5" s="15">
        <v>1</v>
      </c>
      <c r="I5" s="15">
        <v>1</v>
      </c>
      <c r="J5" s="18">
        <f>(H5/E5)*100</f>
        <v>50</v>
      </c>
      <c r="K5" s="18"/>
      <c r="L5" s="17">
        <v>45131.921001157411</v>
      </c>
    </row>
    <row r="6" spans="1:27" x14ac:dyDescent="0.2">
      <c r="A6" s="15">
        <v>5</v>
      </c>
      <c r="B6" s="15">
        <v>5</v>
      </c>
      <c r="C6" s="15">
        <f>B6-A6</f>
        <v>0</v>
      </c>
      <c r="D6" s="15" t="s">
        <v>57</v>
      </c>
      <c r="E6" s="15">
        <v>7</v>
      </c>
      <c r="F6" s="15">
        <v>1014</v>
      </c>
      <c r="G6" s="18">
        <f>CEILING(F6/E6,1)</f>
        <v>145</v>
      </c>
      <c r="H6" s="15">
        <v>6</v>
      </c>
      <c r="I6" s="15">
        <v>1</v>
      </c>
      <c r="J6" s="18">
        <f>(H6/E6)*100</f>
        <v>85.714285714285708</v>
      </c>
      <c r="K6" s="18"/>
      <c r="L6" s="17">
        <v>45032</v>
      </c>
    </row>
    <row r="7" spans="1:27" x14ac:dyDescent="0.2">
      <c r="A7" s="15">
        <v>6</v>
      </c>
      <c r="B7" s="15">
        <v>6</v>
      </c>
      <c r="C7" s="15">
        <f>B7-A7</f>
        <v>0</v>
      </c>
      <c r="D7" s="15" t="s">
        <v>38</v>
      </c>
      <c r="E7" s="15">
        <v>2</v>
      </c>
      <c r="F7" s="15">
        <v>273</v>
      </c>
      <c r="G7" s="18">
        <f>CEILING(F7/E7,1)</f>
        <v>137</v>
      </c>
      <c r="H7" s="15">
        <v>1</v>
      </c>
      <c r="I7" s="15">
        <v>1</v>
      </c>
      <c r="J7" s="18">
        <f>(H7/E7)*100</f>
        <v>50</v>
      </c>
      <c r="K7" s="18"/>
      <c r="L7" s="17">
        <v>45024</v>
      </c>
    </row>
    <row r="8" spans="1:27" x14ac:dyDescent="0.2">
      <c r="A8" s="15">
        <v>7</v>
      </c>
      <c r="B8" s="15">
        <v>7</v>
      </c>
      <c r="C8" s="15">
        <f>B8-A8</f>
        <v>0</v>
      </c>
      <c r="D8" s="15" t="s">
        <v>59</v>
      </c>
      <c r="E8" s="15">
        <v>8</v>
      </c>
      <c r="F8" s="15">
        <v>1032</v>
      </c>
      <c r="G8" s="18">
        <f>CEILING(F8/E8,1)</f>
        <v>129</v>
      </c>
      <c r="H8" s="15">
        <v>6</v>
      </c>
      <c r="I8" s="15">
        <v>2</v>
      </c>
      <c r="J8" s="18">
        <f>(H8/E8)*100</f>
        <v>75</v>
      </c>
      <c r="K8" s="18"/>
      <c r="L8" s="17">
        <v>45136.552691435187</v>
      </c>
    </row>
    <row r="9" spans="1:27" x14ac:dyDescent="0.2">
      <c r="A9" s="15">
        <v>8</v>
      </c>
      <c r="B9" s="15">
        <v>8</v>
      </c>
      <c r="C9" s="15">
        <f>B9-A9</f>
        <v>0</v>
      </c>
      <c r="D9" s="15" t="s">
        <v>49</v>
      </c>
      <c r="E9" s="15">
        <v>2</v>
      </c>
      <c r="F9" s="15">
        <v>250</v>
      </c>
      <c r="G9" s="18">
        <f>CEILING(F9/E9,1)</f>
        <v>125</v>
      </c>
      <c r="H9" s="15">
        <v>1</v>
      </c>
      <c r="I9" s="15">
        <v>1</v>
      </c>
      <c r="J9" s="18">
        <f>(H9/E9)*100</f>
        <v>50</v>
      </c>
      <c r="K9" s="18"/>
      <c r="L9" s="17">
        <v>44859</v>
      </c>
    </row>
    <row r="10" spans="1:27" x14ac:dyDescent="0.2">
      <c r="A10" s="15">
        <v>9</v>
      </c>
      <c r="B10" s="15">
        <v>9</v>
      </c>
      <c r="C10" s="15">
        <f>B10-A10</f>
        <v>0</v>
      </c>
      <c r="D10" s="15" t="s">
        <v>45</v>
      </c>
      <c r="E10" s="15">
        <v>2</v>
      </c>
      <c r="F10" s="15">
        <v>250</v>
      </c>
      <c r="G10" s="18">
        <f>CEILING(F10/E10,1)</f>
        <v>125</v>
      </c>
      <c r="H10" s="15">
        <v>1</v>
      </c>
      <c r="I10" s="15">
        <v>1</v>
      </c>
      <c r="J10" s="18">
        <f>(H10/E10)*100</f>
        <v>50</v>
      </c>
      <c r="K10" s="18"/>
      <c r="L10" s="17">
        <v>44871</v>
      </c>
      <c r="Q10" s="1" t="s">
        <v>31</v>
      </c>
    </row>
    <row r="11" spans="1:27" x14ac:dyDescent="0.2">
      <c r="A11" s="15">
        <v>10</v>
      </c>
      <c r="B11" s="15">
        <v>10</v>
      </c>
      <c r="C11" s="15">
        <f>B11-A11</f>
        <v>0</v>
      </c>
      <c r="D11" s="15" t="s">
        <v>51</v>
      </c>
      <c r="E11" s="15">
        <v>12</v>
      </c>
      <c r="F11" s="15">
        <v>1432</v>
      </c>
      <c r="G11" s="18">
        <f>CEILING(F11/E11,1)</f>
        <v>120</v>
      </c>
      <c r="H11" s="15">
        <v>6</v>
      </c>
      <c r="I11" s="15">
        <v>6</v>
      </c>
      <c r="J11" s="18">
        <f>(H11/E11)*100</f>
        <v>50</v>
      </c>
      <c r="K11" s="18"/>
      <c r="L11" s="17">
        <v>45131.921080208333</v>
      </c>
    </row>
    <row r="12" spans="1:27" x14ac:dyDescent="0.2">
      <c r="A12" s="15">
        <v>11</v>
      </c>
      <c r="B12" s="15">
        <v>11</v>
      </c>
      <c r="C12" s="15">
        <f>B12-A12</f>
        <v>0</v>
      </c>
      <c r="D12" s="15" t="s">
        <v>54</v>
      </c>
      <c r="E12" s="15">
        <v>3</v>
      </c>
      <c r="F12" s="15">
        <v>348</v>
      </c>
      <c r="G12" s="18">
        <f>CEILING(F12/E12,1)</f>
        <v>116</v>
      </c>
      <c r="H12" s="15">
        <v>2</v>
      </c>
      <c r="I12" s="15">
        <v>1</v>
      </c>
      <c r="J12" s="18">
        <f>(H12/E12)*100</f>
        <v>66.666666666666657</v>
      </c>
      <c r="K12" s="18"/>
      <c r="L12" s="17">
        <v>44941</v>
      </c>
    </row>
    <row r="13" spans="1:27" x14ac:dyDescent="0.2">
      <c r="A13" s="15">
        <v>12</v>
      </c>
      <c r="B13" s="15">
        <v>12</v>
      </c>
      <c r="C13" s="15">
        <f>B13-A13</f>
        <v>0</v>
      </c>
      <c r="D13" s="15" t="s">
        <v>43</v>
      </c>
      <c r="E13" s="15">
        <v>2</v>
      </c>
      <c r="F13" s="15">
        <v>225</v>
      </c>
      <c r="G13" s="18">
        <f>CEILING(F13/E13,1)</f>
        <v>113</v>
      </c>
      <c r="H13" s="15">
        <v>1</v>
      </c>
      <c r="I13" s="15">
        <v>1</v>
      </c>
      <c r="J13" s="18">
        <f>(H13/E13)*100</f>
        <v>50</v>
      </c>
      <c r="K13" s="18"/>
      <c r="L13" s="17">
        <v>44885</v>
      </c>
      <c r="M13" s="1" t="s">
        <v>13</v>
      </c>
      <c r="N13" s="4">
        <v>145</v>
      </c>
      <c r="O13" s="4">
        <v>49</v>
      </c>
      <c r="X13" s="1">
        <v>85</v>
      </c>
      <c r="Y13" s="1">
        <v>-5</v>
      </c>
    </row>
    <row r="14" spans="1:27" x14ac:dyDescent="0.2">
      <c r="A14" s="15">
        <v>13</v>
      </c>
      <c r="B14" s="15">
        <v>13</v>
      </c>
      <c r="C14" s="15">
        <f>B14-A14</f>
        <v>0</v>
      </c>
      <c r="D14" s="15" t="s">
        <v>35</v>
      </c>
      <c r="E14" s="15">
        <v>15</v>
      </c>
      <c r="F14" s="15">
        <v>1592</v>
      </c>
      <c r="G14" s="18">
        <f>CEILING(F14/E14,1)</f>
        <v>107</v>
      </c>
      <c r="H14" s="15">
        <v>8</v>
      </c>
      <c r="I14" s="15">
        <v>7</v>
      </c>
      <c r="J14" s="18">
        <f>(H14/E14)*100</f>
        <v>53.333333333333336</v>
      </c>
      <c r="K14" s="18"/>
      <c r="L14" s="17">
        <v>45018</v>
      </c>
      <c r="M14" s="1" t="s">
        <v>22</v>
      </c>
      <c r="N14" s="2">
        <v>788</v>
      </c>
      <c r="O14" s="2">
        <v>190</v>
      </c>
    </row>
    <row r="15" spans="1:27" x14ac:dyDescent="0.2">
      <c r="A15" s="15">
        <v>14</v>
      </c>
      <c r="B15" s="15">
        <v>14</v>
      </c>
      <c r="C15" s="15">
        <f>B15-A15</f>
        <v>0</v>
      </c>
      <c r="D15" s="15" t="s">
        <v>56</v>
      </c>
      <c r="E15" s="15">
        <v>9</v>
      </c>
      <c r="F15" s="15">
        <v>947</v>
      </c>
      <c r="G15" s="18">
        <f>CEILING(F15/E15,1)</f>
        <v>106</v>
      </c>
      <c r="H15" s="15">
        <v>4</v>
      </c>
      <c r="I15" s="15">
        <v>4</v>
      </c>
      <c r="J15" s="18">
        <f>(H15/E15)*100</f>
        <v>44.444444444444443</v>
      </c>
      <c r="K15" s="18"/>
      <c r="L15" s="17">
        <v>45124.378568287037</v>
      </c>
      <c r="M15" s="1" t="s">
        <v>23</v>
      </c>
      <c r="N15" s="10">
        <f>SUM(N13:N14)</f>
        <v>933</v>
      </c>
      <c r="O15" s="11">
        <f>SUM(O13:O14)</f>
        <v>239</v>
      </c>
    </row>
    <row r="16" spans="1:27" x14ac:dyDescent="0.2">
      <c r="A16" s="15">
        <v>15</v>
      </c>
      <c r="B16" s="15">
        <v>20</v>
      </c>
      <c r="C16" s="15">
        <f>B16-A16</f>
        <v>5</v>
      </c>
      <c r="D16" s="15" t="s">
        <v>28</v>
      </c>
      <c r="E16" s="15">
        <v>9</v>
      </c>
      <c r="F16" s="15">
        <v>933</v>
      </c>
      <c r="G16" s="18">
        <f>CEILING(F16/E16,1)</f>
        <v>104</v>
      </c>
      <c r="H16" s="15">
        <v>3</v>
      </c>
      <c r="I16" s="15">
        <v>6</v>
      </c>
      <c r="J16" s="18">
        <f>(H16/E16)*100</f>
        <v>33.333333333333329</v>
      </c>
      <c r="K16" s="18"/>
      <c r="L16" s="17">
        <v>45137.731394560185</v>
      </c>
      <c r="N16" s="7"/>
      <c r="Y16" s="1" t="s">
        <v>18</v>
      </c>
      <c r="Z16" s="1" t="s">
        <v>16</v>
      </c>
    </row>
    <row r="17" spans="1:26" x14ac:dyDescent="0.2">
      <c r="A17" s="15">
        <v>16</v>
      </c>
      <c r="B17" s="15">
        <v>15</v>
      </c>
      <c r="C17" s="15">
        <f>B17-A17</f>
        <v>-1</v>
      </c>
      <c r="D17" s="15" t="s">
        <v>42</v>
      </c>
      <c r="E17" s="15">
        <v>14</v>
      </c>
      <c r="F17" s="15">
        <v>1450</v>
      </c>
      <c r="G17" s="18">
        <f>CEILING(F17/E17,1)</f>
        <v>104</v>
      </c>
      <c r="H17" s="15">
        <v>8</v>
      </c>
      <c r="I17" s="15">
        <v>6</v>
      </c>
      <c r="J17" s="18">
        <f>(H17/E17)*100</f>
        <v>57.142857142857139</v>
      </c>
      <c r="K17" s="18"/>
      <c r="L17" s="17">
        <v>44821</v>
      </c>
      <c r="Y17" s="1" t="s">
        <v>18</v>
      </c>
      <c r="Z17" s="1" t="s">
        <v>17</v>
      </c>
    </row>
    <row r="18" spans="1:26" x14ac:dyDescent="0.2">
      <c r="A18" s="15">
        <v>17</v>
      </c>
      <c r="B18" s="15">
        <v>16</v>
      </c>
      <c r="C18" s="15">
        <f>B18-A18</f>
        <v>-1</v>
      </c>
      <c r="D18" s="15" t="s">
        <v>29</v>
      </c>
      <c r="E18" s="15">
        <v>12</v>
      </c>
      <c r="F18" s="15">
        <v>1215</v>
      </c>
      <c r="G18" s="18">
        <f>CEILING(F18/E18,1)</f>
        <v>102</v>
      </c>
      <c r="H18" s="15">
        <v>7</v>
      </c>
      <c r="I18" s="15">
        <v>5</v>
      </c>
      <c r="J18" s="18">
        <f>(H18/E18)*100</f>
        <v>58.333333333333336</v>
      </c>
      <c r="K18" s="18"/>
      <c r="L18" s="17">
        <v>44814</v>
      </c>
      <c r="Y18" s="1" t="s">
        <v>16</v>
      </c>
      <c r="Z18" s="1" t="s">
        <v>17</v>
      </c>
    </row>
    <row r="19" spans="1:26" x14ac:dyDescent="0.2">
      <c r="A19" s="15">
        <v>18</v>
      </c>
      <c r="B19" s="15">
        <v>17</v>
      </c>
      <c r="C19" s="15">
        <f>B19-A19</f>
        <v>-1</v>
      </c>
      <c r="D19" s="15" t="s">
        <v>60</v>
      </c>
      <c r="E19" s="15">
        <v>5</v>
      </c>
      <c r="F19" s="15">
        <v>503</v>
      </c>
      <c r="G19" s="18">
        <f>CEILING(F19/E19,1)</f>
        <v>101</v>
      </c>
      <c r="H19" s="15">
        <v>2</v>
      </c>
      <c r="I19" s="15">
        <v>3</v>
      </c>
      <c r="J19" s="18">
        <f>(H19/E19)*100</f>
        <v>40</v>
      </c>
      <c r="K19" s="18"/>
      <c r="L19" s="17">
        <v>45080</v>
      </c>
      <c r="N19" s="3"/>
    </row>
    <row r="20" spans="1:26" x14ac:dyDescent="0.2">
      <c r="A20" s="15">
        <v>19</v>
      </c>
      <c r="B20" s="15">
        <v>18</v>
      </c>
      <c r="C20" s="15">
        <f>B20-A20</f>
        <v>-1</v>
      </c>
      <c r="D20" s="15" t="s">
        <v>39</v>
      </c>
      <c r="E20" s="15">
        <v>12</v>
      </c>
      <c r="F20" s="15">
        <v>1212</v>
      </c>
      <c r="G20" s="18">
        <f>CEILING(F20/E20,1)</f>
        <v>101</v>
      </c>
      <c r="H20" s="15">
        <v>6</v>
      </c>
      <c r="I20" s="15">
        <v>6</v>
      </c>
      <c r="J20" s="18">
        <f>(H20/E20)*100</f>
        <v>50</v>
      </c>
      <c r="K20" s="18"/>
      <c r="L20" s="17">
        <v>45136.552764120373</v>
      </c>
    </row>
    <row r="21" spans="1:26" x14ac:dyDescent="0.2">
      <c r="A21" s="15">
        <v>20</v>
      </c>
      <c r="B21" s="15">
        <v>19</v>
      </c>
      <c r="C21" s="15">
        <f>B21-A21</f>
        <v>-1</v>
      </c>
      <c r="D21" s="15" t="s">
        <v>36</v>
      </c>
      <c r="E21" s="15">
        <v>15</v>
      </c>
      <c r="F21" s="15">
        <v>1492</v>
      </c>
      <c r="G21" s="18">
        <f>CEILING(F21/E21,1)</f>
        <v>100</v>
      </c>
      <c r="H21" s="15">
        <v>6</v>
      </c>
      <c r="I21" s="15">
        <v>9</v>
      </c>
      <c r="J21" s="18">
        <f>(H21/E21)*100</f>
        <v>40</v>
      </c>
      <c r="K21" s="18"/>
      <c r="L21" s="17">
        <v>44807</v>
      </c>
      <c r="N21" s="9" t="s">
        <v>30</v>
      </c>
      <c r="O21" s="8">
        <f ca="1">NOW()</f>
        <v>45137.753545254629</v>
      </c>
    </row>
    <row r="22" spans="1:26" x14ac:dyDescent="0.2">
      <c r="A22" s="15">
        <v>21</v>
      </c>
      <c r="B22" s="15">
        <v>21</v>
      </c>
      <c r="C22" s="15">
        <f>B22-A22</f>
        <v>0</v>
      </c>
      <c r="D22" s="15" t="s">
        <v>37</v>
      </c>
      <c r="E22" s="15">
        <v>6</v>
      </c>
      <c r="F22" s="15">
        <v>579</v>
      </c>
      <c r="G22" s="18">
        <f>CEILING(F22/E22,1)</f>
        <v>97</v>
      </c>
      <c r="H22" s="15">
        <v>2</v>
      </c>
      <c r="I22" s="15">
        <v>4</v>
      </c>
      <c r="J22" s="18">
        <f>(H22/E22)*100</f>
        <v>33.333333333333329</v>
      </c>
      <c r="K22" s="18"/>
      <c r="L22" s="17">
        <v>45038</v>
      </c>
    </row>
    <row r="23" spans="1:26" x14ac:dyDescent="0.2">
      <c r="A23" s="15">
        <v>22</v>
      </c>
      <c r="B23" s="15">
        <v>23</v>
      </c>
      <c r="C23" s="15">
        <f>B23-A23</f>
        <v>1</v>
      </c>
      <c r="D23" s="15" t="s">
        <v>33</v>
      </c>
      <c r="E23" s="15">
        <v>4</v>
      </c>
      <c r="F23" s="15">
        <v>328</v>
      </c>
      <c r="G23" s="18">
        <f>CEILING(F23/E23,1)</f>
        <v>82</v>
      </c>
      <c r="H23" s="15">
        <v>2</v>
      </c>
      <c r="I23" s="15">
        <v>2</v>
      </c>
      <c r="J23" s="18">
        <f>(H23/E23)*100</f>
        <v>50</v>
      </c>
      <c r="K23" s="18"/>
      <c r="L23" s="17">
        <v>44807</v>
      </c>
    </row>
    <row r="24" spans="1:26" x14ac:dyDescent="0.2">
      <c r="A24" s="15">
        <v>23</v>
      </c>
      <c r="B24" s="15">
        <v>24</v>
      </c>
      <c r="C24" s="15">
        <f>B24-A24</f>
        <v>1</v>
      </c>
      <c r="D24" s="15" t="s">
        <v>47</v>
      </c>
      <c r="E24" s="15">
        <v>8</v>
      </c>
      <c r="F24" s="15">
        <v>641</v>
      </c>
      <c r="G24" s="18">
        <f>CEILING(F24/E24,1)</f>
        <v>81</v>
      </c>
      <c r="H24" s="15">
        <v>4</v>
      </c>
      <c r="I24" s="15">
        <v>4</v>
      </c>
      <c r="J24" s="18">
        <f>(H24/E24)*100</f>
        <v>50</v>
      </c>
      <c r="K24" s="18"/>
      <c r="L24" s="17">
        <v>45080</v>
      </c>
    </row>
    <row r="25" spans="1:26" x14ac:dyDescent="0.2">
      <c r="A25" s="15">
        <v>24</v>
      </c>
      <c r="B25" s="15">
        <v>22</v>
      </c>
      <c r="C25" s="15">
        <f>B25-A25</f>
        <v>-2</v>
      </c>
      <c r="D25" s="15" t="s">
        <v>46</v>
      </c>
      <c r="E25" s="15">
        <v>3</v>
      </c>
      <c r="F25" s="15">
        <v>239</v>
      </c>
      <c r="G25" s="18">
        <f>CEILING(F25/E25,1)</f>
        <v>80</v>
      </c>
      <c r="H25" s="15">
        <v>1</v>
      </c>
      <c r="I25" s="15">
        <v>2</v>
      </c>
      <c r="J25" s="18">
        <f>(H25/E25)*100</f>
        <v>33.333333333333329</v>
      </c>
      <c r="K25" s="18"/>
      <c r="L25" s="17">
        <v>45137.731543981485</v>
      </c>
    </row>
    <row r="26" spans="1:26" x14ac:dyDescent="0.2">
      <c r="A26" s="15">
        <v>25</v>
      </c>
      <c r="B26" s="15">
        <v>25</v>
      </c>
      <c r="C26" s="15">
        <f>B26-A26</f>
        <v>0</v>
      </c>
      <c r="D26" s="15" t="s">
        <v>58</v>
      </c>
      <c r="E26" s="15">
        <v>4</v>
      </c>
      <c r="F26" s="15">
        <v>278</v>
      </c>
      <c r="G26" s="18">
        <f>CEILING(F26/E26,1)</f>
        <v>70</v>
      </c>
      <c r="H26" s="15">
        <v>1</v>
      </c>
      <c r="I26" s="15">
        <v>3</v>
      </c>
      <c r="J26" s="18">
        <f>(H26/E26)*100</f>
        <v>25</v>
      </c>
      <c r="K26" s="18"/>
      <c r="L26" s="17">
        <v>44941</v>
      </c>
    </row>
    <row r="27" spans="1:26" x14ac:dyDescent="0.2">
      <c r="A27" s="15">
        <v>26</v>
      </c>
      <c r="B27" s="15">
        <v>26</v>
      </c>
      <c r="C27" s="15">
        <f>B27-A27</f>
        <v>0</v>
      </c>
      <c r="D27" s="15" t="s">
        <v>40</v>
      </c>
      <c r="E27" s="15">
        <v>5</v>
      </c>
      <c r="F27" s="15">
        <v>303</v>
      </c>
      <c r="G27" s="18">
        <f>CEILING(F27/E27,1)</f>
        <v>61</v>
      </c>
      <c r="H27" s="15">
        <v>1</v>
      </c>
      <c r="I27" s="15">
        <v>4</v>
      </c>
      <c r="J27" s="18">
        <f>(H27/E27)*100</f>
        <v>20</v>
      </c>
      <c r="K27" s="18"/>
      <c r="L27" s="17">
        <v>45059</v>
      </c>
    </row>
    <row r="28" spans="1:26" x14ac:dyDescent="0.2">
      <c r="A28" s="15">
        <v>27</v>
      </c>
      <c r="B28" s="15">
        <v>27</v>
      </c>
      <c r="C28" s="15">
        <f>B28-A28</f>
        <v>0</v>
      </c>
      <c r="D28" s="15" t="s">
        <v>53</v>
      </c>
      <c r="E28" s="15">
        <v>9</v>
      </c>
      <c r="F28" s="15">
        <v>538</v>
      </c>
      <c r="G28" s="18">
        <f>CEILING(F28/E28,1)</f>
        <v>60</v>
      </c>
      <c r="H28" s="15">
        <v>3</v>
      </c>
      <c r="I28" s="15">
        <v>6</v>
      </c>
      <c r="J28" s="18">
        <f>(H28/E28)*100</f>
        <v>33.333333333333329</v>
      </c>
      <c r="K28" s="18"/>
      <c r="L28" s="17">
        <v>45073</v>
      </c>
    </row>
    <row r="29" spans="1:26" x14ac:dyDescent="0.2">
      <c r="A29" s="15">
        <v>28</v>
      </c>
      <c r="B29" s="15">
        <v>28</v>
      </c>
      <c r="C29" s="15">
        <f>B29-A29</f>
        <v>0</v>
      </c>
      <c r="D29" s="15" t="s">
        <v>41</v>
      </c>
      <c r="E29" s="15">
        <v>1</v>
      </c>
      <c r="F29" s="15">
        <v>50</v>
      </c>
      <c r="G29" s="18">
        <f>CEILING(F29/E29,1)</f>
        <v>50</v>
      </c>
      <c r="H29" s="15">
        <v>0</v>
      </c>
      <c r="I29" s="15">
        <v>1</v>
      </c>
      <c r="J29" s="18">
        <f>(H29/E29)*100</f>
        <v>0</v>
      </c>
      <c r="K29" s="18"/>
      <c r="L29" s="17">
        <v>44835</v>
      </c>
    </row>
    <row r="30" spans="1:26" x14ac:dyDescent="0.2">
      <c r="A30" s="15">
        <v>29</v>
      </c>
      <c r="B30" s="15">
        <v>29</v>
      </c>
      <c r="C30" s="15">
        <f>B30-A30</f>
        <v>0</v>
      </c>
      <c r="D30" s="15" t="s">
        <v>44</v>
      </c>
      <c r="E30" s="15">
        <v>1</v>
      </c>
      <c r="F30" s="15">
        <v>50</v>
      </c>
      <c r="G30" s="18">
        <f>CEILING(F30/E30,1)</f>
        <v>50</v>
      </c>
      <c r="H30" s="15">
        <v>0</v>
      </c>
      <c r="I30" s="15">
        <v>1</v>
      </c>
      <c r="J30" s="18">
        <f>(H30/E30)*100</f>
        <v>0</v>
      </c>
      <c r="K30" s="18"/>
      <c r="L30" s="17">
        <v>44836</v>
      </c>
    </row>
    <row r="31" spans="1:26" x14ac:dyDescent="0.2">
      <c r="A31" s="15">
        <v>30</v>
      </c>
      <c r="B31" s="15">
        <v>30</v>
      </c>
      <c r="C31" s="15">
        <f>B31-A31</f>
        <v>0</v>
      </c>
      <c r="D31" s="15" t="s">
        <v>50</v>
      </c>
      <c r="E31" s="15">
        <v>1</v>
      </c>
      <c r="F31" s="15">
        <v>50</v>
      </c>
      <c r="G31" s="18">
        <f>CEILING(F31/E31,1)</f>
        <v>50</v>
      </c>
      <c r="H31" s="15">
        <v>0</v>
      </c>
      <c r="I31" s="15">
        <v>1</v>
      </c>
      <c r="J31" s="18">
        <f>(H31/E31)*100</f>
        <v>0</v>
      </c>
      <c r="K31" s="18"/>
      <c r="L31" s="17">
        <v>44843</v>
      </c>
    </row>
    <row r="32" spans="1:26" x14ac:dyDescent="0.2">
      <c r="A32" s="15">
        <v>31</v>
      </c>
      <c r="B32" s="15">
        <v>31</v>
      </c>
      <c r="C32" s="15">
        <f>B32-A32</f>
        <v>0</v>
      </c>
      <c r="D32" s="15" t="s">
        <v>52</v>
      </c>
      <c r="E32" s="15">
        <v>1</v>
      </c>
      <c r="F32" s="15">
        <v>50</v>
      </c>
      <c r="G32" s="18">
        <f>CEILING(F32/E32,1)</f>
        <v>50</v>
      </c>
      <c r="H32" s="15">
        <v>0</v>
      </c>
      <c r="I32" s="15">
        <v>1</v>
      </c>
      <c r="J32" s="18">
        <f>(H32/E32)*100</f>
        <v>0</v>
      </c>
      <c r="K32" s="15"/>
      <c r="L32" s="17">
        <v>44849</v>
      </c>
    </row>
    <row r="33" spans="1:12" x14ac:dyDescent="0.2">
      <c r="A33" s="15">
        <v>32</v>
      </c>
      <c r="B33" s="15">
        <v>32</v>
      </c>
      <c r="C33" s="15">
        <f>B33-A33</f>
        <v>0</v>
      </c>
      <c r="D33" s="15" t="s">
        <v>34</v>
      </c>
      <c r="E33" s="15">
        <v>3</v>
      </c>
      <c r="F33" s="15">
        <v>85</v>
      </c>
      <c r="G33" s="18">
        <f>CEILING(F33/E33,1)</f>
        <v>29</v>
      </c>
      <c r="H33" s="15">
        <v>0</v>
      </c>
      <c r="I33" s="15">
        <v>3</v>
      </c>
      <c r="J33" s="18">
        <f>(H33/E33)*100</f>
        <v>0</v>
      </c>
      <c r="K33" s="18"/>
      <c r="L33" s="17">
        <v>44723</v>
      </c>
    </row>
    <row r="34" spans="1:12" x14ac:dyDescent="0.2">
      <c r="A34" s="15">
        <v>33</v>
      </c>
      <c r="B34" s="15">
        <v>33</v>
      </c>
      <c r="C34" s="15">
        <f t="shared" ref="C34:C35" si="0">B34-A34</f>
        <v>0</v>
      </c>
      <c r="D34" s="15"/>
      <c r="E34" s="15"/>
      <c r="F34" s="15"/>
      <c r="G34" s="18"/>
      <c r="H34" s="15"/>
      <c r="I34" s="15"/>
      <c r="J34" s="18"/>
      <c r="K34" s="18"/>
      <c r="L34" s="17"/>
    </row>
    <row r="35" spans="1:12" x14ac:dyDescent="0.2">
      <c r="A35" s="15">
        <v>34</v>
      </c>
      <c r="B35" s="15">
        <v>34</v>
      </c>
      <c r="C35" s="15">
        <f t="shared" si="0"/>
        <v>0</v>
      </c>
      <c r="D35" s="15"/>
      <c r="E35" s="15"/>
      <c r="F35" s="15"/>
      <c r="G35" s="18"/>
      <c r="H35" s="15"/>
      <c r="I35" s="15"/>
      <c r="J35" s="18"/>
      <c r="K35" s="18"/>
      <c r="L35" s="17"/>
    </row>
    <row r="36" spans="1:12" x14ac:dyDescent="0.2">
      <c r="A36" s="15"/>
      <c r="B36" s="15"/>
      <c r="C36" s="15"/>
      <c r="D36" s="15"/>
      <c r="E36" s="15"/>
      <c r="F36" s="15"/>
      <c r="G36" s="18"/>
      <c r="H36" s="15"/>
      <c r="I36" s="15"/>
      <c r="J36" s="18"/>
      <c r="K36" s="18"/>
      <c r="L36" s="17"/>
    </row>
    <row r="37" spans="1:12" x14ac:dyDescent="0.2">
      <c r="G37" s="3"/>
      <c r="J37" s="3"/>
      <c r="K37" s="3"/>
    </row>
    <row r="38" spans="1:12" x14ac:dyDescent="0.2">
      <c r="G38" s="3"/>
      <c r="J38" s="3"/>
      <c r="K38" s="3"/>
    </row>
  </sheetData>
  <sortState xmlns:xlrd2="http://schemas.microsoft.com/office/spreadsheetml/2017/richdata2" ref="B1:L33">
    <sortCondition descending="1" ref="G1:G33"/>
    <sortCondition ref="E1:E33"/>
    <sortCondition descending="1" ref="J1:J33"/>
  </sortState>
  <dataConsolidate/>
  <conditionalFormatting sqref="C2:C38">
    <cfRule type="cellIs" dxfId="21" priority="25" operator="lessThan">
      <formula>0</formula>
    </cfRule>
    <cfRule type="cellIs" dxfId="20" priority="26" operator="greaterThan">
      <formula>0</formula>
    </cfRule>
  </conditionalFormatting>
  <conditionalFormatting sqref="C2:C38">
    <cfRule type="cellIs" dxfId="19" priority="24" operator="equal">
      <formula>0</formula>
    </cfRule>
  </conditionalFormatting>
  <conditionalFormatting sqref="C2:C38">
    <cfRule type="cellIs" dxfId="18" priority="23" operator="equal">
      <formula>0</formula>
    </cfRule>
  </conditionalFormatting>
  <conditionalFormatting sqref="D42:D67 D2:D37">
    <cfRule type="cellIs" dxfId="17" priority="22" operator="equal">
      <formula>$N$3</formula>
    </cfRule>
  </conditionalFormatting>
  <conditionalFormatting sqref="D42:D67 D2:D37">
    <cfRule type="cellIs" dxfId="16" priority="21" operator="equal">
      <formula>$O$3</formula>
    </cfRule>
  </conditionalFormatting>
  <conditionalFormatting sqref="D38">
    <cfRule type="cellIs" dxfId="15" priority="10" operator="equal">
      <formula>$N$3</formula>
    </cfRule>
  </conditionalFormatting>
  <conditionalFormatting sqref="D38">
    <cfRule type="cellIs" dxfId="14" priority="9" operator="equal">
      <formula>$O$3</formula>
    </cfRule>
  </conditionalFormatting>
  <conditionalFormatting sqref="L1 L3:L1048576">
    <cfRule type="cellIs" dxfId="13" priority="8" operator="lessThan">
      <formula>EDATE($O$21,-18)</formula>
    </cfRule>
  </conditionalFormatting>
  <conditionalFormatting sqref="O15">
    <cfRule type="cellIs" dxfId="12" priority="5" operator="equal">
      <formula>$N$3</formula>
    </cfRule>
  </conditionalFormatting>
  <conditionalFormatting sqref="O15">
    <cfRule type="cellIs" dxfId="11" priority="4" operator="equal">
      <formula>$O$3</formula>
    </cfRule>
  </conditionalFormatting>
  <conditionalFormatting sqref="N15">
    <cfRule type="cellIs" dxfId="10" priority="3" operator="equal">
      <formula>$N$3</formula>
    </cfRule>
  </conditionalFormatting>
  <conditionalFormatting sqref="N15">
    <cfRule type="cellIs" dxfId="9" priority="2" operator="equal">
      <formula>$O$3</formula>
    </cfRule>
  </conditionalFormatting>
  <conditionalFormatting sqref="L2">
    <cfRule type="cellIs" dxfId="8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tabSelected="1"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9" t="s">
        <v>24</v>
      </c>
      <c r="B1" s="20" t="s">
        <v>27</v>
      </c>
      <c r="C1" s="21" t="s">
        <v>25</v>
      </c>
      <c r="D1" s="22" t="s">
        <v>0</v>
      </c>
      <c r="E1" s="23" t="s">
        <v>2</v>
      </c>
      <c r="F1" s="24" t="s">
        <v>1</v>
      </c>
      <c r="G1" s="13" t="s">
        <v>12</v>
      </c>
      <c r="H1" s="25" t="s">
        <v>3</v>
      </c>
      <c r="I1" s="26" t="s">
        <v>4</v>
      </c>
      <c r="J1" s="27" t="s">
        <v>5</v>
      </c>
      <c r="K1" s="28"/>
      <c r="L1" s="29"/>
    </row>
    <row r="2" spans="1:12" x14ac:dyDescent="0.25">
      <c r="A2" s="19">
        <v>1</v>
      </c>
      <c r="B2" s="20">
        <v>1</v>
      </c>
      <c r="C2" s="21">
        <f>B2-A2</f>
        <v>0</v>
      </c>
      <c r="D2" s="12" t="s">
        <v>48</v>
      </c>
      <c r="E2" s="30">
        <v>4</v>
      </c>
      <c r="F2" s="31">
        <v>780</v>
      </c>
      <c r="G2" s="14">
        <f>CEILING(F2/E2,1)</f>
        <v>195</v>
      </c>
      <c r="H2" s="32">
        <v>4</v>
      </c>
      <c r="I2" s="33">
        <v>0</v>
      </c>
      <c r="J2" s="34">
        <f>(H2/E2)*100</f>
        <v>100</v>
      </c>
      <c r="K2" s="35"/>
      <c r="L2" s="29">
        <v>44885</v>
      </c>
    </row>
    <row r="3" spans="1:12" x14ac:dyDescent="0.25">
      <c r="A3" s="19">
        <v>2</v>
      </c>
      <c r="B3" s="20">
        <v>2</v>
      </c>
      <c r="C3" s="21">
        <f>B3-A3</f>
        <v>0</v>
      </c>
      <c r="D3" s="12" t="s">
        <v>55</v>
      </c>
      <c r="E3" s="30">
        <v>5</v>
      </c>
      <c r="F3" s="31">
        <v>882</v>
      </c>
      <c r="G3" s="14">
        <f>CEILING(F3/E3,1)</f>
        <v>177</v>
      </c>
      <c r="H3" s="32">
        <v>4</v>
      </c>
      <c r="I3" s="33">
        <v>1</v>
      </c>
      <c r="J3" s="34">
        <f>(H3/E3)*100</f>
        <v>80</v>
      </c>
      <c r="K3" s="35"/>
      <c r="L3" s="29">
        <v>45108</v>
      </c>
    </row>
    <row r="4" spans="1:12" x14ac:dyDescent="0.25">
      <c r="A4" s="19">
        <v>3</v>
      </c>
      <c r="B4" s="20">
        <v>3</v>
      </c>
      <c r="C4" s="21">
        <f>B4-A4</f>
        <v>0</v>
      </c>
      <c r="D4" s="12" t="s">
        <v>32</v>
      </c>
      <c r="E4" s="30">
        <v>7</v>
      </c>
      <c r="F4" s="31">
        <v>1187</v>
      </c>
      <c r="G4" s="14">
        <f>CEILING(F4/E4,1)</f>
        <v>170</v>
      </c>
      <c r="H4" s="32">
        <v>5</v>
      </c>
      <c r="I4" s="33">
        <v>2</v>
      </c>
      <c r="J4" s="34">
        <f>(H4/E4)*100</f>
        <v>71.428571428571431</v>
      </c>
      <c r="K4" s="35"/>
      <c r="L4" s="29">
        <v>44877</v>
      </c>
    </row>
    <row r="5" spans="1:12" x14ac:dyDescent="0.25">
      <c r="A5" s="19">
        <v>4</v>
      </c>
      <c r="B5" s="20">
        <v>4</v>
      </c>
      <c r="C5" s="21">
        <f>B5-A5</f>
        <v>0</v>
      </c>
      <c r="D5" s="12" t="s">
        <v>61</v>
      </c>
      <c r="E5" s="30">
        <v>2</v>
      </c>
      <c r="F5" s="31">
        <v>290</v>
      </c>
      <c r="G5" s="14">
        <f>CEILING(F5/E5,1)</f>
        <v>145</v>
      </c>
      <c r="H5" s="32">
        <v>1</v>
      </c>
      <c r="I5" s="33">
        <v>1</v>
      </c>
      <c r="J5" s="34">
        <f>(H5/E5)*100</f>
        <v>50</v>
      </c>
      <c r="K5" s="35"/>
      <c r="L5" s="29">
        <v>45131.921001157411</v>
      </c>
    </row>
    <row r="6" spans="1:12" x14ac:dyDescent="0.25">
      <c r="A6" s="19">
        <v>5</v>
      </c>
      <c r="B6" s="20">
        <v>5</v>
      </c>
      <c r="C6" s="21">
        <f>B6-A6</f>
        <v>0</v>
      </c>
      <c r="D6" s="12" t="s">
        <v>57</v>
      </c>
      <c r="E6" s="30">
        <v>7</v>
      </c>
      <c r="F6" s="31">
        <v>1014</v>
      </c>
      <c r="G6" s="14">
        <f>CEILING(F6/E6,1)</f>
        <v>145</v>
      </c>
      <c r="H6" s="32">
        <v>6</v>
      </c>
      <c r="I6" s="33">
        <v>1</v>
      </c>
      <c r="J6" s="34">
        <f>(H6/E6)*100</f>
        <v>85.714285714285708</v>
      </c>
      <c r="K6" s="35"/>
      <c r="L6" s="29">
        <v>45032</v>
      </c>
    </row>
    <row r="7" spans="1:12" x14ac:dyDescent="0.25">
      <c r="A7" s="19">
        <v>6</v>
      </c>
      <c r="B7" s="20">
        <v>6</v>
      </c>
      <c r="C7" s="21">
        <f>B7-A7</f>
        <v>0</v>
      </c>
      <c r="D7" s="12" t="s">
        <v>38</v>
      </c>
      <c r="E7" s="30">
        <v>2</v>
      </c>
      <c r="F7" s="31">
        <v>273</v>
      </c>
      <c r="G7" s="14">
        <f>CEILING(F7/E7,1)</f>
        <v>137</v>
      </c>
      <c r="H7" s="32">
        <v>1</v>
      </c>
      <c r="I7" s="33">
        <v>1</v>
      </c>
      <c r="J7" s="34">
        <f>(H7/E7)*100</f>
        <v>50</v>
      </c>
      <c r="K7" s="35"/>
      <c r="L7" s="29">
        <v>45024</v>
      </c>
    </row>
    <row r="8" spans="1:12" x14ac:dyDescent="0.25">
      <c r="A8" s="19">
        <v>7</v>
      </c>
      <c r="B8" s="20">
        <v>7</v>
      </c>
      <c r="C8" s="21">
        <f>B8-A8</f>
        <v>0</v>
      </c>
      <c r="D8" s="12" t="s">
        <v>59</v>
      </c>
      <c r="E8" s="30">
        <v>8</v>
      </c>
      <c r="F8" s="31">
        <v>1032</v>
      </c>
      <c r="G8" s="14">
        <f>CEILING(F8/E8,1)</f>
        <v>129</v>
      </c>
      <c r="H8" s="32">
        <v>6</v>
      </c>
      <c r="I8" s="33">
        <v>2</v>
      </c>
      <c r="J8" s="34">
        <f>(H8/E8)*100</f>
        <v>75</v>
      </c>
      <c r="K8" s="35"/>
      <c r="L8" s="29">
        <v>45136.552691435187</v>
      </c>
    </row>
    <row r="9" spans="1:12" x14ac:dyDescent="0.25">
      <c r="A9" s="19">
        <v>8</v>
      </c>
      <c r="B9" s="20">
        <v>8</v>
      </c>
      <c r="C9" s="21">
        <f>B9-A9</f>
        <v>0</v>
      </c>
      <c r="D9" s="12" t="s">
        <v>49</v>
      </c>
      <c r="E9" s="30">
        <v>2</v>
      </c>
      <c r="F9" s="31">
        <v>250</v>
      </c>
      <c r="G9" s="14">
        <f>CEILING(F9/E9,1)</f>
        <v>125</v>
      </c>
      <c r="H9" s="32">
        <v>1</v>
      </c>
      <c r="I9" s="33">
        <v>1</v>
      </c>
      <c r="J9" s="34">
        <f>(H9/E9)*100</f>
        <v>50</v>
      </c>
      <c r="K9" s="35"/>
      <c r="L9" s="36">
        <v>44859</v>
      </c>
    </row>
    <row r="10" spans="1:12" x14ac:dyDescent="0.25">
      <c r="A10" s="19">
        <v>9</v>
      </c>
      <c r="B10" s="20">
        <v>9</v>
      </c>
      <c r="C10" s="21">
        <f>B10-A10</f>
        <v>0</v>
      </c>
      <c r="D10" s="12" t="s">
        <v>45</v>
      </c>
      <c r="E10" s="30">
        <v>2</v>
      </c>
      <c r="F10" s="31">
        <v>250</v>
      </c>
      <c r="G10" s="14">
        <f>CEILING(F10/E10,1)</f>
        <v>125</v>
      </c>
      <c r="H10" s="32">
        <v>1</v>
      </c>
      <c r="I10" s="33">
        <v>1</v>
      </c>
      <c r="J10" s="34">
        <f>(H10/E10)*100</f>
        <v>50</v>
      </c>
      <c r="K10" s="35"/>
      <c r="L10" s="29">
        <v>44871</v>
      </c>
    </row>
    <row r="11" spans="1:12" x14ac:dyDescent="0.25">
      <c r="A11" s="19">
        <v>10</v>
      </c>
      <c r="B11" s="20">
        <v>10</v>
      </c>
      <c r="C11" s="21">
        <f>B11-A11</f>
        <v>0</v>
      </c>
      <c r="D11" s="12" t="s">
        <v>51</v>
      </c>
      <c r="E11" s="30">
        <v>12</v>
      </c>
      <c r="F11" s="31">
        <v>1432</v>
      </c>
      <c r="G11" s="14">
        <f>CEILING(F11/E11,1)</f>
        <v>120</v>
      </c>
      <c r="H11" s="32">
        <v>6</v>
      </c>
      <c r="I11" s="33">
        <v>6</v>
      </c>
      <c r="J11" s="34">
        <f>(H11/E11)*100</f>
        <v>50</v>
      </c>
      <c r="K11" s="35"/>
      <c r="L11" s="29">
        <v>45131.921080208333</v>
      </c>
    </row>
    <row r="12" spans="1:12" x14ac:dyDescent="0.25">
      <c r="A12" s="19">
        <v>11</v>
      </c>
      <c r="B12" s="20">
        <v>11</v>
      </c>
      <c r="C12" s="21">
        <f>B12-A12</f>
        <v>0</v>
      </c>
      <c r="D12" s="12" t="s">
        <v>54</v>
      </c>
      <c r="E12" s="30">
        <v>3</v>
      </c>
      <c r="F12" s="31">
        <v>348</v>
      </c>
      <c r="G12" s="14">
        <f>CEILING(F12/E12,1)</f>
        <v>116</v>
      </c>
      <c r="H12" s="32">
        <v>2</v>
      </c>
      <c r="I12" s="33">
        <v>1</v>
      </c>
      <c r="J12" s="34">
        <f>(H12/E12)*100</f>
        <v>66.666666666666657</v>
      </c>
      <c r="K12" s="35"/>
      <c r="L12" s="29">
        <v>44941</v>
      </c>
    </row>
    <row r="13" spans="1:12" x14ac:dyDescent="0.25">
      <c r="A13" s="19">
        <v>12</v>
      </c>
      <c r="B13" s="20">
        <v>12</v>
      </c>
      <c r="C13" s="21">
        <f>B13-A13</f>
        <v>0</v>
      </c>
      <c r="D13" s="12" t="s">
        <v>43</v>
      </c>
      <c r="E13" s="30">
        <v>2</v>
      </c>
      <c r="F13" s="31">
        <v>225</v>
      </c>
      <c r="G13" s="14">
        <f>CEILING(F13/E13,1)</f>
        <v>113</v>
      </c>
      <c r="H13" s="32">
        <v>1</v>
      </c>
      <c r="I13" s="33">
        <v>1</v>
      </c>
      <c r="J13" s="34">
        <f>(H13/E13)*100</f>
        <v>50</v>
      </c>
      <c r="K13" s="35"/>
      <c r="L13" s="29">
        <v>44885</v>
      </c>
    </row>
    <row r="14" spans="1:12" x14ac:dyDescent="0.25">
      <c r="A14" s="19">
        <v>13</v>
      </c>
      <c r="B14" s="20">
        <v>13</v>
      </c>
      <c r="C14" s="21">
        <f>B14-A14</f>
        <v>0</v>
      </c>
      <c r="D14" s="12" t="s">
        <v>35</v>
      </c>
      <c r="E14" s="30">
        <v>15</v>
      </c>
      <c r="F14" s="31">
        <v>1592</v>
      </c>
      <c r="G14" s="14">
        <f>CEILING(F14/E14,1)</f>
        <v>107</v>
      </c>
      <c r="H14" s="32">
        <v>8</v>
      </c>
      <c r="I14" s="33">
        <v>7</v>
      </c>
      <c r="J14" s="34">
        <f>(H14/E14)*100</f>
        <v>53.333333333333336</v>
      </c>
      <c r="K14" s="35"/>
      <c r="L14" s="29">
        <v>45018</v>
      </c>
    </row>
    <row r="15" spans="1:12" x14ac:dyDescent="0.25">
      <c r="A15" s="19">
        <v>14</v>
      </c>
      <c r="B15" s="20">
        <v>14</v>
      </c>
      <c r="C15" s="21">
        <f>B15-A15</f>
        <v>0</v>
      </c>
      <c r="D15" s="12" t="s">
        <v>56</v>
      </c>
      <c r="E15" s="30">
        <v>9</v>
      </c>
      <c r="F15" s="31">
        <v>947</v>
      </c>
      <c r="G15" s="14">
        <f>CEILING(F15/E15,1)</f>
        <v>106</v>
      </c>
      <c r="H15" s="32">
        <v>4</v>
      </c>
      <c r="I15" s="33">
        <v>4</v>
      </c>
      <c r="J15" s="34">
        <f>(H15/E15)*100</f>
        <v>44.444444444444443</v>
      </c>
      <c r="K15" s="35"/>
      <c r="L15" s="29">
        <v>45124.378568287037</v>
      </c>
    </row>
    <row r="16" spans="1:12" x14ac:dyDescent="0.25">
      <c r="A16" s="19">
        <v>15</v>
      </c>
      <c r="B16" s="20">
        <v>20</v>
      </c>
      <c r="C16" s="21">
        <f>B16-A16</f>
        <v>5</v>
      </c>
      <c r="D16" s="12" t="s">
        <v>28</v>
      </c>
      <c r="E16" s="30">
        <v>9</v>
      </c>
      <c r="F16" s="31">
        <v>933</v>
      </c>
      <c r="G16" s="14">
        <f>CEILING(F16/E16,1)</f>
        <v>104</v>
      </c>
      <c r="H16" s="32">
        <v>3</v>
      </c>
      <c r="I16" s="33">
        <v>6</v>
      </c>
      <c r="J16" s="34">
        <f>(H16/E16)*100</f>
        <v>33.333333333333329</v>
      </c>
      <c r="K16" s="35"/>
      <c r="L16" s="29">
        <v>45137.731394560185</v>
      </c>
    </row>
    <row r="17" spans="1:12" x14ac:dyDescent="0.25">
      <c r="A17" s="19">
        <v>16</v>
      </c>
      <c r="B17" s="20">
        <v>15</v>
      </c>
      <c r="C17" s="21">
        <f>B17-A17</f>
        <v>-1</v>
      </c>
      <c r="D17" s="12" t="s">
        <v>42</v>
      </c>
      <c r="E17" s="30">
        <v>14</v>
      </c>
      <c r="F17" s="31">
        <v>1450</v>
      </c>
      <c r="G17" s="14">
        <f>CEILING(F17/E17,1)</f>
        <v>104</v>
      </c>
      <c r="H17" s="32">
        <v>8</v>
      </c>
      <c r="I17" s="33">
        <v>6</v>
      </c>
      <c r="J17" s="34">
        <f>(H17/E17)*100</f>
        <v>57.142857142857139</v>
      </c>
      <c r="K17" s="35"/>
      <c r="L17" s="29">
        <v>44821</v>
      </c>
    </row>
    <row r="18" spans="1:12" x14ac:dyDescent="0.25">
      <c r="A18" s="19">
        <v>17</v>
      </c>
      <c r="B18" s="20">
        <v>16</v>
      </c>
      <c r="C18" s="21">
        <f>B18-A18</f>
        <v>-1</v>
      </c>
      <c r="D18" s="12" t="s">
        <v>29</v>
      </c>
      <c r="E18" s="30">
        <v>12</v>
      </c>
      <c r="F18" s="31">
        <v>1215</v>
      </c>
      <c r="G18" s="14">
        <f>CEILING(F18/E18,1)</f>
        <v>102</v>
      </c>
      <c r="H18" s="32">
        <v>7</v>
      </c>
      <c r="I18" s="33">
        <v>5</v>
      </c>
      <c r="J18" s="34">
        <f>(H18/E18)*100</f>
        <v>58.333333333333336</v>
      </c>
      <c r="K18" s="35"/>
      <c r="L18" s="29">
        <v>44814</v>
      </c>
    </row>
    <row r="19" spans="1:12" x14ac:dyDescent="0.25">
      <c r="A19" s="19">
        <v>18</v>
      </c>
      <c r="B19" s="20">
        <v>17</v>
      </c>
      <c r="C19" s="21">
        <f>B19-A19</f>
        <v>-1</v>
      </c>
      <c r="D19" s="12" t="s">
        <v>60</v>
      </c>
      <c r="E19" s="30">
        <v>5</v>
      </c>
      <c r="F19" s="31">
        <v>503</v>
      </c>
      <c r="G19" s="14">
        <f>CEILING(F19/E19,1)</f>
        <v>101</v>
      </c>
      <c r="H19" s="32">
        <v>2</v>
      </c>
      <c r="I19" s="33">
        <v>3</v>
      </c>
      <c r="J19" s="34">
        <f>(H19/E19)*100</f>
        <v>40</v>
      </c>
      <c r="K19" s="35"/>
      <c r="L19" s="29">
        <v>45080</v>
      </c>
    </row>
    <row r="20" spans="1:12" x14ac:dyDescent="0.25">
      <c r="A20" s="19">
        <v>19</v>
      </c>
      <c r="B20" s="20">
        <v>18</v>
      </c>
      <c r="C20" s="21">
        <f>B20-A20</f>
        <v>-1</v>
      </c>
      <c r="D20" s="12" t="s">
        <v>39</v>
      </c>
      <c r="E20" s="30">
        <v>12</v>
      </c>
      <c r="F20" s="31">
        <v>1212</v>
      </c>
      <c r="G20" s="14">
        <f>CEILING(F20/E20,1)</f>
        <v>101</v>
      </c>
      <c r="H20" s="32">
        <v>6</v>
      </c>
      <c r="I20" s="33">
        <v>6</v>
      </c>
      <c r="J20" s="34">
        <f>(H20/E20)*100</f>
        <v>50</v>
      </c>
      <c r="K20" s="35"/>
      <c r="L20" s="29">
        <v>45136.552764120373</v>
      </c>
    </row>
    <row r="21" spans="1:12" x14ac:dyDescent="0.25">
      <c r="A21" s="19">
        <v>20</v>
      </c>
      <c r="B21" s="20">
        <v>19</v>
      </c>
      <c r="C21" s="21">
        <f>B21-A21</f>
        <v>-1</v>
      </c>
      <c r="D21" s="12" t="s">
        <v>36</v>
      </c>
      <c r="E21" s="30">
        <v>15</v>
      </c>
      <c r="F21" s="31">
        <v>1492</v>
      </c>
      <c r="G21" s="14">
        <f>CEILING(F21/E21,1)</f>
        <v>100</v>
      </c>
      <c r="H21" s="32">
        <v>6</v>
      </c>
      <c r="I21" s="33">
        <v>9</v>
      </c>
      <c r="J21" s="34">
        <f>(H21/E21)*100</f>
        <v>40</v>
      </c>
      <c r="K21" s="35"/>
      <c r="L21" s="29">
        <v>44807</v>
      </c>
    </row>
    <row r="22" spans="1:12" x14ac:dyDescent="0.25">
      <c r="A22" s="19">
        <v>21</v>
      </c>
      <c r="B22" s="20">
        <v>21</v>
      </c>
      <c r="C22" s="21">
        <f>B22-A22</f>
        <v>0</v>
      </c>
      <c r="D22" s="12" t="s">
        <v>37</v>
      </c>
      <c r="E22" s="30">
        <v>6</v>
      </c>
      <c r="F22" s="31">
        <v>579</v>
      </c>
      <c r="G22" s="14">
        <f>CEILING(F22/E22,1)</f>
        <v>97</v>
      </c>
      <c r="H22" s="32">
        <v>2</v>
      </c>
      <c r="I22" s="33">
        <v>4</v>
      </c>
      <c r="J22" s="34">
        <f>(H22/E22)*100</f>
        <v>33.333333333333329</v>
      </c>
      <c r="K22" s="35"/>
      <c r="L22" s="29">
        <v>45038</v>
      </c>
    </row>
    <row r="23" spans="1:12" x14ac:dyDescent="0.25">
      <c r="A23" s="19">
        <v>22</v>
      </c>
      <c r="B23" s="20">
        <v>23</v>
      </c>
      <c r="C23" s="21">
        <f>B23-A23</f>
        <v>1</v>
      </c>
      <c r="D23" s="12" t="s">
        <v>33</v>
      </c>
      <c r="E23" s="30">
        <v>4</v>
      </c>
      <c r="F23" s="31">
        <v>328</v>
      </c>
      <c r="G23" s="14">
        <f>CEILING(F23/E23,1)</f>
        <v>82</v>
      </c>
      <c r="H23" s="32">
        <v>2</v>
      </c>
      <c r="I23" s="33">
        <v>2</v>
      </c>
      <c r="J23" s="34">
        <f>(H23/E23)*100</f>
        <v>50</v>
      </c>
      <c r="K23" s="35"/>
      <c r="L23" s="29">
        <v>44807</v>
      </c>
    </row>
    <row r="24" spans="1:12" x14ac:dyDescent="0.25">
      <c r="A24" s="19">
        <v>23</v>
      </c>
      <c r="B24" s="20">
        <v>24</v>
      </c>
      <c r="C24" s="21">
        <f>B24-A24</f>
        <v>1</v>
      </c>
      <c r="D24" s="12" t="s">
        <v>47</v>
      </c>
      <c r="E24" s="30">
        <v>8</v>
      </c>
      <c r="F24" s="31">
        <v>641</v>
      </c>
      <c r="G24" s="14">
        <f>CEILING(F24/E24,1)</f>
        <v>81</v>
      </c>
      <c r="H24" s="32">
        <v>4</v>
      </c>
      <c r="I24" s="33">
        <v>4</v>
      </c>
      <c r="J24" s="34">
        <f>(H24/E24)*100</f>
        <v>50</v>
      </c>
      <c r="K24" s="35"/>
      <c r="L24" s="29">
        <v>45080</v>
      </c>
    </row>
    <row r="25" spans="1:12" x14ac:dyDescent="0.25">
      <c r="A25" s="19">
        <v>24</v>
      </c>
      <c r="B25" s="20">
        <v>22</v>
      </c>
      <c r="C25" s="21">
        <f>B25-A25</f>
        <v>-2</v>
      </c>
      <c r="D25" s="12" t="s">
        <v>46</v>
      </c>
      <c r="E25" s="30">
        <v>3</v>
      </c>
      <c r="F25" s="31">
        <v>239</v>
      </c>
      <c r="G25" s="14">
        <f>CEILING(F25/E25,1)</f>
        <v>80</v>
      </c>
      <c r="H25" s="32">
        <v>1</v>
      </c>
      <c r="I25" s="33">
        <v>2</v>
      </c>
      <c r="J25" s="34">
        <f>(H25/E25)*100</f>
        <v>33.333333333333329</v>
      </c>
      <c r="K25" s="35"/>
      <c r="L25" s="29">
        <v>45137.731543981485</v>
      </c>
    </row>
    <row r="26" spans="1:12" x14ac:dyDescent="0.25">
      <c r="A26" s="19">
        <v>25</v>
      </c>
      <c r="B26" s="20">
        <v>25</v>
      </c>
      <c r="C26" s="21">
        <f>B26-A26</f>
        <v>0</v>
      </c>
      <c r="D26" s="12" t="s">
        <v>58</v>
      </c>
      <c r="E26" s="30">
        <v>4</v>
      </c>
      <c r="F26" s="31">
        <v>278</v>
      </c>
      <c r="G26" s="14">
        <f>CEILING(F26/E26,1)</f>
        <v>70</v>
      </c>
      <c r="H26" s="32">
        <v>1</v>
      </c>
      <c r="I26" s="33">
        <v>3</v>
      </c>
      <c r="J26" s="34">
        <f>(H26/E26)*100</f>
        <v>25</v>
      </c>
      <c r="K26" s="35"/>
      <c r="L26" s="29">
        <v>44941</v>
      </c>
    </row>
    <row r="27" spans="1:12" x14ac:dyDescent="0.25">
      <c r="A27" s="19">
        <v>26</v>
      </c>
      <c r="B27" s="20">
        <v>26</v>
      </c>
      <c r="C27" s="21">
        <f>B27-A27</f>
        <v>0</v>
      </c>
      <c r="D27" s="12" t="s">
        <v>40</v>
      </c>
      <c r="E27" s="30">
        <v>5</v>
      </c>
      <c r="F27" s="31">
        <v>303</v>
      </c>
      <c r="G27" s="14">
        <f>CEILING(F27/E27,1)</f>
        <v>61</v>
      </c>
      <c r="H27" s="32">
        <v>1</v>
      </c>
      <c r="I27" s="33">
        <v>4</v>
      </c>
      <c r="J27" s="34">
        <f>(H27/E27)*100</f>
        <v>20</v>
      </c>
      <c r="K27" s="35"/>
      <c r="L27" s="29">
        <v>45059</v>
      </c>
    </row>
    <row r="28" spans="1:12" x14ac:dyDescent="0.25">
      <c r="A28" s="19">
        <v>27</v>
      </c>
      <c r="B28" s="20">
        <v>27</v>
      </c>
      <c r="C28" s="21">
        <f>B28-A28</f>
        <v>0</v>
      </c>
      <c r="D28" s="12" t="s">
        <v>53</v>
      </c>
      <c r="E28" s="30">
        <v>9</v>
      </c>
      <c r="F28" s="31">
        <v>538</v>
      </c>
      <c r="G28" s="14">
        <f>CEILING(F28/E28,1)</f>
        <v>60</v>
      </c>
      <c r="H28" s="32">
        <v>3</v>
      </c>
      <c r="I28" s="33">
        <v>6</v>
      </c>
      <c r="J28" s="34">
        <f>(H28/E28)*100</f>
        <v>33.333333333333329</v>
      </c>
      <c r="K28" s="35"/>
      <c r="L28" s="29">
        <v>45073</v>
      </c>
    </row>
    <row r="29" spans="1:12" x14ac:dyDescent="0.25">
      <c r="A29" s="19">
        <v>28</v>
      </c>
      <c r="B29" s="20">
        <v>28</v>
      </c>
      <c r="C29" s="21">
        <f>B29-A29</f>
        <v>0</v>
      </c>
      <c r="D29" s="12" t="s">
        <v>41</v>
      </c>
      <c r="E29" s="30">
        <v>1</v>
      </c>
      <c r="F29" s="31">
        <v>50</v>
      </c>
      <c r="G29" s="14">
        <f>CEILING(F29/E29,1)</f>
        <v>50</v>
      </c>
      <c r="H29" s="32">
        <v>0</v>
      </c>
      <c r="I29" s="33">
        <v>1</v>
      </c>
      <c r="J29" s="34">
        <f>(H29/E29)*100</f>
        <v>0</v>
      </c>
      <c r="K29" s="35"/>
      <c r="L29" s="29">
        <v>44835</v>
      </c>
    </row>
    <row r="30" spans="1:12" x14ac:dyDescent="0.25">
      <c r="A30" s="19">
        <v>29</v>
      </c>
      <c r="B30" s="20">
        <v>29</v>
      </c>
      <c r="C30" s="21">
        <f>B30-A30</f>
        <v>0</v>
      </c>
      <c r="D30" s="12" t="s">
        <v>44</v>
      </c>
      <c r="E30" s="30">
        <v>1</v>
      </c>
      <c r="F30" s="31">
        <v>50</v>
      </c>
      <c r="G30" s="14">
        <f>CEILING(F30/E30,1)</f>
        <v>50</v>
      </c>
      <c r="H30" s="32">
        <v>0</v>
      </c>
      <c r="I30" s="33">
        <v>1</v>
      </c>
      <c r="J30" s="34">
        <f>(H30/E30)*100</f>
        <v>0</v>
      </c>
      <c r="K30" s="35"/>
      <c r="L30" s="29">
        <v>44836</v>
      </c>
    </row>
    <row r="31" spans="1:12" x14ac:dyDescent="0.25">
      <c r="A31" s="19">
        <v>30</v>
      </c>
      <c r="B31" s="20">
        <v>30</v>
      </c>
      <c r="C31" s="21">
        <f>B31-A31</f>
        <v>0</v>
      </c>
      <c r="D31" s="12" t="s">
        <v>50</v>
      </c>
      <c r="E31" s="30">
        <v>1</v>
      </c>
      <c r="F31" s="31">
        <v>50</v>
      </c>
      <c r="G31" s="14">
        <f>CEILING(F31/E31,1)</f>
        <v>50</v>
      </c>
      <c r="H31" s="32">
        <v>0</v>
      </c>
      <c r="I31" s="33">
        <v>1</v>
      </c>
      <c r="J31" s="34">
        <f>(H31/E31)*100</f>
        <v>0</v>
      </c>
      <c r="K31" s="35"/>
      <c r="L31" s="29">
        <v>44843</v>
      </c>
    </row>
    <row r="32" spans="1:12" x14ac:dyDescent="0.25">
      <c r="A32" s="19">
        <v>31</v>
      </c>
      <c r="B32" s="20">
        <v>31</v>
      </c>
      <c r="C32" s="21">
        <f>B32-A32</f>
        <v>0</v>
      </c>
      <c r="D32" s="12" t="s">
        <v>52</v>
      </c>
      <c r="E32" s="30">
        <v>1</v>
      </c>
      <c r="F32" s="31">
        <v>50</v>
      </c>
      <c r="G32" s="14">
        <f>CEILING(F32/E32,1)</f>
        <v>50</v>
      </c>
      <c r="H32" s="32">
        <v>0</v>
      </c>
      <c r="I32" s="33">
        <v>1</v>
      </c>
      <c r="J32" s="34">
        <f>(H32/E32)*100</f>
        <v>0</v>
      </c>
      <c r="K32" s="37"/>
      <c r="L32" s="29">
        <v>44849</v>
      </c>
    </row>
    <row r="33" spans="1:12" x14ac:dyDescent="0.25">
      <c r="A33" s="19">
        <v>32</v>
      </c>
      <c r="B33" s="20">
        <v>32</v>
      </c>
      <c r="C33" s="21">
        <f>B33-A33</f>
        <v>0</v>
      </c>
      <c r="D33" s="12" t="s">
        <v>34</v>
      </c>
      <c r="E33" s="30">
        <v>3</v>
      </c>
      <c r="F33" s="31">
        <v>85</v>
      </c>
      <c r="G33" s="14">
        <f>CEILING(F33/E33,1)</f>
        <v>29</v>
      </c>
      <c r="H33" s="32">
        <v>0</v>
      </c>
      <c r="I33" s="33">
        <v>3</v>
      </c>
      <c r="J33" s="34">
        <f>(H33/E33)*100</f>
        <v>0</v>
      </c>
      <c r="K33" s="35"/>
      <c r="L33" s="29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2023-07-30T10:08:51Z</dcterms:modified>
</cp:coreProperties>
</file>