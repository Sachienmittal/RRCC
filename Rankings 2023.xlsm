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D48093FA-51B2-482B-8124-049B525AB88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0" l="1"/>
  <c r="J5" i="10"/>
  <c r="G21" i="10"/>
  <c r="G5" i="10"/>
  <c r="J24" i="10"/>
  <c r="G24" i="10"/>
  <c r="N15" i="10"/>
  <c r="O15" i="10"/>
  <c r="J6" i="10"/>
  <c r="J15" i="10"/>
  <c r="G6" i="10"/>
  <c r="G15" i="10"/>
  <c r="J2" i="10"/>
  <c r="G2" i="10"/>
  <c r="J10" i="10"/>
  <c r="G10" i="10"/>
  <c r="J25" i="10"/>
  <c r="G25" i="10"/>
  <c r="J31" i="10"/>
  <c r="J13" i="10"/>
  <c r="G31" i="10"/>
  <c r="G13" i="10"/>
  <c r="J30" i="10"/>
  <c r="J8" i="10"/>
  <c r="G30" i="10"/>
  <c r="G8" i="10"/>
  <c r="J3" i="10"/>
  <c r="G3" i="10"/>
  <c r="J23" i="10"/>
  <c r="G23" i="10"/>
  <c r="J29" i="10"/>
  <c r="J9" i="10"/>
  <c r="G29" i="10"/>
  <c r="G9" i="10"/>
  <c r="J28" i="10"/>
  <c r="J11" i="10"/>
  <c r="G28" i="10"/>
  <c r="G11" i="10"/>
  <c r="J27" i="10"/>
  <c r="G27" i="10"/>
  <c r="J26" i="10"/>
  <c r="G26" i="10"/>
  <c r="J20" i="10"/>
  <c r="G20" i="10"/>
  <c r="J7" i="10"/>
  <c r="G7" i="10"/>
  <c r="J19" i="10"/>
  <c r="G19" i="10"/>
  <c r="J18" i="10"/>
  <c r="J14" i="10"/>
  <c r="G18" i="10"/>
  <c r="G14" i="10"/>
  <c r="J32" i="10"/>
  <c r="G32" i="10"/>
  <c r="J12" i="10"/>
  <c r="G12" i="10"/>
  <c r="O21" i="10"/>
  <c r="C35" i="10" l="1"/>
  <c r="C31" i="10"/>
  <c r="Q3" i="10" l="1"/>
  <c r="R3" i="10"/>
  <c r="J4" i="10" l="1"/>
  <c r="G4" i="10"/>
  <c r="C26" i="10" l="1"/>
  <c r="C17" i="10"/>
  <c r="C16" i="10"/>
  <c r="C22" i="10"/>
  <c r="C32" i="10"/>
  <c r="C7" i="10"/>
  <c r="C19" i="10"/>
  <c r="C18" i="10"/>
  <c r="C27" i="10"/>
  <c r="C11" i="10"/>
  <c r="C20" i="10"/>
  <c r="C28" i="10"/>
  <c r="C29" i="10"/>
  <c r="C8" i="10"/>
  <c r="C23" i="10"/>
  <c r="C25" i="10"/>
  <c r="C2" i="10"/>
  <c r="C33" i="10"/>
  <c r="C24" i="10"/>
  <c r="C5" i="10"/>
  <c r="C10" i="10"/>
  <c r="C15" i="10"/>
  <c r="C34" i="10"/>
  <c r="J17" i="10" l="1"/>
  <c r="G17" i="10"/>
  <c r="G22" i="10" l="1"/>
  <c r="J22" i="10"/>
  <c r="J16" i="10" l="1"/>
  <c r="G16" i="10"/>
  <c r="S3" i="10" s="1"/>
  <c r="T3" i="10" l="1"/>
  <c r="V3" i="10" s="1"/>
  <c r="U3" i="10" l="1"/>
  <c r="C9" i="10"/>
  <c r="C6" i="10"/>
  <c r="C12" i="10"/>
  <c r="N4" i="10" l="1"/>
  <c r="O4" i="10"/>
  <c r="C3" i="10"/>
  <c r="C13" i="10"/>
  <c r="C4" i="10"/>
  <c r="C21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<sst xmlns="http://schemas.openxmlformats.org/spreadsheetml/2006/main" count="104" uniqueCount="90">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</sst>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G37" sqref="G37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47</v>
      </c>
      <c r="O3" s="3" t="s">
        <v>40</v>
      </c>
      <c r="Q3" s="3">
        <f>VLOOKUP(N3,$D$2:$G$49,3,FALSE)</f>
        <v>485</v>
      </c>
      <c r="R3" s="3">
        <f>VLOOKUP(O3,$D$2:$G$49,3,FALSE)</f>
        <v>303</v>
      </c>
      <c r="S3" s="3">
        <f>VLOOKUP(N3,$D$2:$G$49,4,FALSE)</f>
        <v>81</v>
      </c>
      <c r="T3" s="3">
        <f>VLOOKUP(O3,$D$2:$G$49,4,FALSE)</f>
        <v>61</v>
      </c>
      <c r="U3" s="3">
        <f>IF(S3&gt;T3,S3-T3,T3-S3)</f>
        <v>20</v>
      </c>
      <c r="V3" s="3">
        <f>S3-T3</f>
        <v>20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111</v>
      </c>
      <c r="O4" s="6">
        <f>IF($U$3&lt;40,$S$3-50,IF($V$3&gt;0,$T$3-10,$T$3-90))</f>
        <v>31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59</v>
      </c>
      <c r="E5" s="3">
        <v>2</v>
      </c>
      <c r="F5" s="4">
        <v>310</v>
      </c>
      <c r="G5" s="5">
        <f>CEILING(F5/E5,1)</f>
        <v>155</v>
      </c>
      <c r="H5" s="3">
        <v>2</v>
      </c>
      <c r="I5" s="3">
        <v>0</v>
      </c>
      <c r="J5" s="5">
        <f>(H5/E5)*100</f>
        <v>100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45024</v>
      </c>
    </row>
    <row r="7" spans="1:27" x14ac:dyDescent="0.2">
      <c r="A7" s="3">
        <v>6</v>
      </c>
      <c r="B7" s="3">
        <v>6</v>
      </c>
      <c r="C7" s="3">
        <f>B7-A7</f>
        <v>0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7</v>
      </c>
      <c r="C8" s="3">
        <f>B8-A8</f>
        <v>0</v>
      </c>
      <c r="D8" s="3" t="s">
        <v>49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44871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45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44576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45039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120</v>
      </c>
      <c r="O13" s="6">
        <v>23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365</v>
      </c>
      <c r="O14" s="4">
        <v>280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485</v>
      </c>
      <c r="O15" s="13">
        <f>SUM(O13:O14)</f>
        <v>303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36</v>
      </c>
      <c r="E18" s="3">
        <v>15</v>
      </c>
      <c r="F18" s="4">
        <v>1492</v>
      </c>
      <c r="G18" s="5">
        <f>CEILING(F18/E18,1)</f>
        <v>100</v>
      </c>
      <c r="H18" s="3">
        <v>6</v>
      </c>
      <c r="I18" s="3">
        <v>9</v>
      </c>
      <c r="J18" s="5">
        <f>(H18/E18)*100</f>
        <v>40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37</v>
      </c>
      <c r="E19" s="3">
        <v>6</v>
      </c>
      <c r="F19" s="4">
        <v>579</v>
      </c>
      <c r="G19" s="5">
        <f>CEILING(F19/E19,1)</f>
        <v>97</v>
      </c>
      <c r="H19" s="3">
        <v>2</v>
      </c>
      <c r="I19" s="3">
        <v>4</v>
      </c>
      <c r="J19" s="5">
        <f>(H19/E19)*100</f>
        <v>33.333333333333329</v>
      </c>
      <c r="K19" s="5"/>
      <c r="L19" s="10">
        <v>44807</v>
      </c>
      <c r="N19" s="5"/>
    </row>
    <row r="20" spans="1:26" x14ac:dyDescent="0.2">
      <c r="A20" s="3">
        <v>19</v>
      </c>
      <c r="B20" s="3">
        <v>19</v>
      </c>
      <c r="C20" s="3">
        <f>B20-A20</f>
        <v>0</v>
      </c>
      <c r="D20" s="3" t="s">
        <v>39</v>
      </c>
      <c r="E20" s="3">
        <v>7</v>
      </c>
      <c r="F20" s="4">
        <v>620</v>
      </c>
      <c r="G20" s="5">
        <f>CEILING(F20/E20,1)</f>
        <v>89</v>
      </c>
      <c r="H20" s="3">
        <v>4</v>
      </c>
      <c r="I20" s="3">
        <v>3</v>
      </c>
      <c r="J20" s="5">
        <f>(H20/E20)*100</f>
        <v>57.142857142857139</v>
      </c>
      <c r="K20" s="5"/>
      <c r="L20" s="10">
        <v>45038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60</v>
      </c>
      <c r="E21" s="3">
        <v>2</v>
      </c>
      <c r="F21" s="4">
        <v>174</v>
      </c>
      <c r="G21" s="5">
        <f>CEILING(F21/E21,1)</f>
        <v>87</v>
      </c>
      <c r="H21" s="3">
        <v>1</v>
      </c>
      <c r="I21" s="3">
        <v>1</v>
      </c>
      <c r="J21" s="5">
        <f>(H21/E21)*100</f>
        <v>50</v>
      </c>
      <c r="K21" s="5"/>
      <c r="L21" s="10">
        <v>45052</v>
      </c>
      <c r="N21" s="11" t="s">
        <v>30</v>
      </c>
      <c r="O21" s="10">
        <f ca="1">NOW()</f>
        <v>45059.702216435187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23</v>
      </c>
      <c r="C23" s="3">
        <f>B23-A23</f>
        <v>1</v>
      </c>
      <c r="D23" s="3" t="s">
        <v>47</v>
      </c>
      <c r="E23" s="3">
        <v>6</v>
      </c>
      <c r="F23" s="4">
        <v>485</v>
      </c>
      <c r="G23" s="5">
        <f>CEILING(F23/E23,1)</f>
        <v>81</v>
      </c>
      <c r="H23" s="3">
        <v>3</v>
      </c>
      <c r="I23" s="3">
        <v>3</v>
      </c>
      <c r="J23" s="5">
        <f>(H23/E23)*100</f>
        <v>50</v>
      </c>
      <c r="K23" s="5"/>
      <c r="L23" s="10">
        <v>45052</v>
      </c>
    </row>
    <row r="24" spans="1:26" x14ac:dyDescent="0.2">
      <c r="A24" s="3">
        <v>23</v>
      </c>
      <c r="B24" s="3">
        <v>22</v>
      </c>
      <c r="C24" s="3">
        <f>B24-A24</f>
        <v>-1</v>
      </c>
      <c r="D24" s="3" t="s">
        <v>58</v>
      </c>
      <c r="E24" s="3">
        <v>3</v>
      </c>
      <c r="F24" s="4">
        <v>230</v>
      </c>
      <c r="G24" s="5">
        <f>CEILING(F24/E24,1)</f>
        <v>77</v>
      </c>
      <c r="H24" s="3">
        <v>1</v>
      </c>
      <c r="I24" s="3">
        <v>2</v>
      </c>
      <c r="J24" s="5">
        <f>(H24/E24)*100</f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25</v>
      </c>
      <c r="C25" s="3">
        <f>B25-A25</f>
        <v>1</v>
      </c>
      <c r="D25" s="3" t="s">
        <v>53</v>
      </c>
      <c r="E25" s="3">
        <v>7</v>
      </c>
      <c r="F25" s="4">
        <v>470</v>
      </c>
      <c r="G25" s="5">
        <f>CEILING(F25/E25,1)</f>
        <v>68</v>
      </c>
      <c r="H25" s="3">
        <v>3</v>
      </c>
      <c r="I25" s="3">
        <v>4</v>
      </c>
      <c r="J25" s="5">
        <f>(H25/E25)*100</f>
        <v>42.857142857142854</v>
      </c>
      <c r="K25" s="5"/>
      <c r="L25" s="10">
        <v>45045</v>
      </c>
    </row>
    <row r="26" spans="1:26" x14ac:dyDescent="0.2">
      <c r="A26" s="3">
        <v>25</v>
      </c>
      <c r="B26" s="3">
        <v>24</v>
      </c>
      <c r="C26" s="3">
        <f>B26-A26</f>
        <v>-1</v>
      </c>
      <c r="D26" s="3" t="s">
        <v>40</v>
      </c>
      <c r="E26" s="3">
        <v>5</v>
      </c>
      <c r="F26" s="4">
        <v>303</v>
      </c>
      <c r="G26" s="5">
        <f>CEILING(F26/E26,1)</f>
        <v>61</v>
      </c>
      <c r="H26" s="3">
        <v>1</v>
      </c>
      <c r="I26" s="3">
        <v>4</v>
      </c>
      <c r="J26" s="5">
        <f>(H26/E26)*100</f>
        <v>20</v>
      </c>
      <c r="K26" s="5"/>
      <c r="L26" s="10">
        <v>45045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2023-05-13T08:52:30Z</dcterms:modified>
</cp:coreProperties>
</file>