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"/>
    </mc:Choice>
  </mc:AlternateContent>
  <xr:revisionPtr revIDLastSave="0" documentId="13_ncr:1_{13135585-0C0F-4209-AF8D-9E9A294A050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10" l="1"/>
  <c r="J7" i="10"/>
  <c r="G21" i="10"/>
  <c r="G7" i="10"/>
  <c r="J24" i="10"/>
  <c r="G24" i="10"/>
  <c r="N15" i="10"/>
  <c r="O15" i="10"/>
  <c r="J5" i="10"/>
  <c r="J15" i="10"/>
  <c r="G5" i="10"/>
  <c r="G15" i="10"/>
  <c r="J2" i="10"/>
  <c r="G2" i="10"/>
  <c r="J10" i="10"/>
  <c r="G10" i="10"/>
  <c r="J26" i="10"/>
  <c r="G26" i="10"/>
  <c r="J31" i="10"/>
  <c r="J13" i="10"/>
  <c r="G31" i="10"/>
  <c r="G13" i="10"/>
  <c r="J30" i="10"/>
  <c r="J8" i="10"/>
  <c r="G30" i="10"/>
  <c r="G8" i="10"/>
  <c r="J3" i="10"/>
  <c r="G3" i="10"/>
  <c r="J22" i="10"/>
  <c r="G22" i="10"/>
  <c r="J29" i="10"/>
  <c r="J9" i="10"/>
  <c r="G29" i="10"/>
  <c r="G9" i="10"/>
  <c r="J28" i="10"/>
  <c r="J11" i="10"/>
  <c r="G28" i="10"/>
  <c r="G11" i="10"/>
  <c r="J27" i="10"/>
  <c r="G27" i="10"/>
  <c r="J25" i="10"/>
  <c r="G25" i="10"/>
  <c r="J18" i="10"/>
  <c r="G18" i="10"/>
  <c r="J6" i="10"/>
  <c r="G6" i="10"/>
  <c r="J20" i="10"/>
  <c r="G20" i="10"/>
  <c r="J19" i="10"/>
  <c r="J14" i="10"/>
  <c r="G19" i="10"/>
  <c r="G14" i="10"/>
  <c r="J32" i="10"/>
  <c r="G32" i="10"/>
  <c r="J12" i="10"/>
  <c r="G12" i="10"/>
  <c r="O21" i="10"/>
  <c r="C35" i="10" l="1"/>
  <c r="C31" i="10"/>
  <c r="Q3" i="10" l="1"/>
  <c r="R3" i="10"/>
  <c r="J4" i="10" l="1"/>
  <c r="G4" i="10"/>
  <c r="C25" i="10" l="1"/>
  <c r="C17" i="10"/>
  <c r="C16" i="10"/>
  <c r="C23" i="10"/>
  <c r="C32" i="10"/>
  <c r="C6" i="10"/>
  <c r="C20" i="10"/>
  <c r="C19" i="10"/>
  <c r="C27" i="10"/>
  <c r="C11" i="10"/>
  <c r="C18" i="10"/>
  <c r="C28" i="10"/>
  <c r="C29" i="10"/>
  <c r="C8" i="10"/>
  <c r="C22" i="10"/>
  <c r="C26" i="10"/>
  <c r="C2" i="10"/>
  <c r="C33" i="10"/>
  <c r="C24" i="10"/>
  <c r="C7" i="10"/>
  <c r="C10" i="10"/>
  <c r="C15" i="10"/>
  <c r="C34" i="10"/>
  <c r="J17" i="10" l="1"/>
  <c r="G17" i="10"/>
  <c r="G23" i="10" l="1"/>
  <c r="J23" i="10"/>
  <c r="J16" i="10" l="1"/>
  <c r="G16" i="10"/>
  <c r="S3" i="10" s="1"/>
  <c r="T3" i="10" l="1"/>
  <c r="V3" i="10" s="1"/>
  <c r="U3" i="10" l="1"/>
  <c r="C9" i="10"/>
  <c r="C5" i="10"/>
  <c r="C12" i="10"/>
  <c r="N4" i="10" l="1"/>
  <c r="O4" i="10"/>
  <c r="C3" i="10"/>
  <c r="C13" i="10"/>
  <c r="C4" i="10"/>
  <c r="C21" i="10"/>
  <c r="C30" i="10"/>
  <c r="C14" i="10"/>
</calcChain>
</file>

<file path=xl/sharedStrings.xml><?xml version="1.0" encoding="utf-8"?>
<sst xmlns="http://schemas.openxmlformats.org/spreadsheetml/2006/main" count="104" uniqueCount="90">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</sst>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O26" sqref="O26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 t="shared" ref="C2:C32" si="0">B2-A2</f>
        <v>0</v>
      </c>
      <c r="D2" s="3" t="s">
        <v>55</v>
      </c>
      <c r="E2" s="3">
        <v>2</v>
      </c>
      <c r="F2" s="4">
        <v>390</v>
      </c>
      <c r="G2" s="5">
        <f t="shared" ref="G2:G32" si="1">CEILING(F2/E2,1)</f>
        <v>195</v>
      </c>
      <c r="H2" s="3">
        <v>2</v>
      </c>
      <c r="I2" s="3">
        <v>0</v>
      </c>
      <c r="J2" s="5">
        <f t="shared" ref="J2:J32" si="2">(H2/E2)*100</f>
        <v>100</v>
      </c>
      <c r="K2" s="5"/>
      <c r="L2" s="10">
        <v>44934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 t="shared" si="0"/>
        <v>0</v>
      </c>
      <c r="D3" s="3" t="s">
        <v>48</v>
      </c>
      <c r="E3" s="3">
        <v>4</v>
      </c>
      <c r="F3" s="4">
        <v>780</v>
      </c>
      <c r="G3" s="5">
        <f t="shared" si="1"/>
        <v>195</v>
      </c>
      <c r="H3" s="3">
        <v>4</v>
      </c>
      <c r="I3" s="3">
        <v>0</v>
      </c>
      <c r="J3" s="5">
        <f t="shared" si="2"/>
        <v>100</v>
      </c>
      <c r="K3" s="5"/>
      <c r="L3" s="10">
        <v>44885</v>
      </c>
      <c r="N3" s="3" t="s">
        <v>60</v>
      </c>
      <c r="O3" s="3" t="s">
        <v>47</v>
      </c>
      <c r="Q3" s="3">
        <f>VLOOKUP(N3,$D$2:$G$49,3,FALSE)</f>
        <v>503</v>
      </c>
      <c r="R3" s="3">
        <f>VLOOKUP(O3,$D$2:$G$49,3,FALSE)</f>
        <v>641</v>
      </c>
      <c r="S3" s="3">
        <f>VLOOKUP(N3,$D$2:$G$49,4,FALSE)</f>
        <v>101</v>
      </c>
      <c r="T3" s="3">
        <f>VLOOKUP(O3,$D$2:$G$49,4,FALSE)</f>
        <v>81</v>
      </c>
      <c r="U3" s="3">
        <f>IF(S3&gt;T3,S3-T3,T3-S3)</f>
        <v>20</v>
      </c>
      <c r="V3" s="3">
        <f>S3-T3</f>
        <v>20</v>
      </c>
      <c r="X3" s="3" t="s">
        <v>15</v>
      </c>
    </row>
    <row r="4" spans="1:27" x14ac:dyDescent="0.2">
      <c r="A4" s="3">
        <v>3</v>
      </c>
      <c r="B4" s="3">
        <v>3</v>
      </c>
      <c r="C4" s="3">
        <f t="shared" si="0"/>
        <v>0</v>
      </c>
      <c r="D4" s="3" t="s">
        <v>32</v>
      </c>
      <c r="E4" s="3">
        <v>7</v>
      </c>
      <c r="F4" s="4">
        <v>1187</v>
      </c>
      <c r="G4" s="5">
        <f t="shared" si="1"/>
        <v>170</v>
      </c>
      <c r="H4" s="3">
        <v>5</v>
      </c>
      <c r="I4" s="3">
        <v>2</v>
      </c>
      <c r="J4" s="5">
        <f t="shared" si="2"/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131</v>
      </c>
      <c r="O4" s="6">
        <f>IF($U$3&lt;40,$S$3-50,IF($V$3&gt;0,$T$3-10,$T$3-90))</f>
        <v>51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4</v>
      </c>
      <c r="C5" s="3">
        <f t="shared" si="0"/>
        <v>0</v>
      </c>
      <c r="D5" s="3" t="s">
        <v>57</v>
      </c>
      <c r="E5" s="3">
        <v>7</v>
      </c>
      <c r="F5" s="4">
        <v>1014</v>
      </c>
      <c r="G5" s="5">
        <f t="shared" si="1"/>
        <v>145</v>
      </c>
      <c r="H5" s="3">
        <v>6</v>
      </c>
      <c r="I5" s="3">
        <v>1</v>
      </c>
      <c r="J5" s="5">
        <f t="shared" si="2"/>
        <v>85.714285714285708</v>
      </c>
      <c r="K5" s="5"/>
      <c r="L5" s="10">
        <v>45032</v>
      </c>
    </row>
    <row r="6" spans="1:27" x14ac:dyDescent="0.2">
      <c r="A6" s="3">
        <v>5</v>
      </c>
      <c r="B6" s="3">
        <v>5</v>
      </c>
      <c r="C6" s="3">
        <f t="shared" si="0"/>
        <v>0</v>
      </c>
      <c r="D6" s="3" t="s">
        <v>38</v>
      </c>
      <c r="E6" s="3">
        <v>2</v>
      </c>
      <c r="F6" s="4">
        <v>273</v>
      </c>
      <c r="G6" s="5">
        <f t="shared" si="1"/>
        <v>137</v>
      </c>
      <c r="H6" s="3">
        <v>1</v>
      </c>
      <c r="I6" s="3">
        <v>1</v>
      </c>
      <c r="J6" s="5">
        <f t="shared" si="2"/>
        <v>50</v>
      </c>
      <c r="K6" s="5"/>
      <c r="L6" s="10">
        <v>45024</v>
      </c>
    </row>
    <row r="7" spans="1:27" x14ac:dyDescent="0.2">
      <c r="A7" s="3">
        <v>6</v>
      </c>
      <c r="B7" s="3">
        <v>8</v>
      </c>
      <c r="C7" s="3">
        <f t="shared" si="0"/>
        <v>2</v>
      </c>
      <c r="D7" s="3" t="s">
        <v>59</v>
      </c>
      <c r="E7" s="3">
        <v>4</v>
      </c>
      <c r="F7" s="4">
        <v>523</v>
      </c>
      <c r="G7" s="5">
        <f t="shared" si="1"/>
        <v>131</v>
      </c>
      <c r="H7" s="3">
        <v>3</v>
      </c>
      <c r="I7" s="3">
        <v>1</v>
      </c>
      <c r="J7" s="5">
        <f t="shared" si="2"/>
        <v>75</v>
      </c>
      <c r="K7" s="5"/>
      <c r="L7" s="10">
        <v>44576</v>
      </c>
    </row>
    <row r="8" spans="1:27" x14ac:dyDescent="0.2">
      <c r="A8" s="3">
        <v>7</v>
      </c>
      <c r="B8" s="3">
        <v>6</v>
      </c>
      <c r="C8" s="3">
        <f t="shared" si="0"/>
        <v>-1</v>
      </c>
      <c r="D8" s="3" t="s">
        <v>49</v>
      </c>
      <c r="E8" s="3">
        <v>2</v>
      </c>
      <c r="F8" s="4">
        <v>250</v>
      </c>
      <c r="G8" s="5">
        <f t="shared" si="1"/>
        <v>125</v>
      </c>
      <c r="H8" s="3">
        <v>1</v>
      </c>
      <c r="I8" s="3">
        <v>1</v>
      </c>
      <c r="J8" s="5">
        <f t="shared" si="2"/>
        <v>50</v>
      </c>
      <c r="K8" s="5"/>
      <c r="L8" s="10">
        <v>44859</v>
      </c>
    </row>
    <row r="9" spans="1:27" x14ac:dyDescent="0.2">
      <c r="A9" s="3">
        <v>8</v>
      </c>
      <c r="B9" s="3">
        <v>7</v>
      </c>
      <c r="C9" s="3">
        <f t="shared" si="0"/>
        <v>-1</v>
      </c>
      <c r="D9" s="3" t="s">
        <v>45</v>
      </c>
      <c r="E9" s="3">
        <v>2</v>
      </c>
      <c r="F9" s="4">
        <v>250</v>
      </c>
      <c r="G9" s="5">
        <f t="shared" si="1"/>
        <v>125</v>
      </c>
      <c r="H9" s="3">
        <v>1</v>
      </c>
      <c r="I9" s="3">
        <v>1</v>
      </c>
      <c r="J9" s="5">
        <f t="shared" si="2"/>
        <v>50</v>
      </c>
      <c r="K9" s="5"/>
      <c r="L9" s="10">
        <v>44871</v>
      </c>
    </row>
    <row r="10" spans="1:27" x14ac:dyDescent="0.2">
      <c r="A10" s="3">
        <v>9</v>
      </c>
      <c r="B10" s="3">
        <v>9</v>
      </c>
      <c r="C10" s="3">
        <f t="shared" si="0"/>
        <v>0</v>
      </c>
      <c r="D10" s="3" t="s">
        <v>54</v>
      </c>
      <c r="E10" s="3">
        <v>3</v>
      </c>
      <c r="F10" s="4">
        <v>348</v>
      </c>
      <c r="G10" s="5">
        <f t="shared" si="1"/>
        <v>116</v>
      </c>
      <c r="H10" s="3">
        <v>2</v>
      </c>
      <c r="I10" s="3">
        <v>1</v>
      </c>
      <c r="J10" s="5">
        <f t="shared" si="2"/>
        <v>66.666666666666657</v>
      </c>
      <c r="K10" s="5"/>
      <c r="L10" s="10">
        <v>44941</v>
      </c>
      <c r="Q10" s="3" t="s">
        <v>31</v>
      </c>
    </row>
    <row r="11" spans="1:27" x14ac:dyDescent="0.2">
      <c r="A11" s="3">
        <v>10</v>
      </c>
      <c r="B11" s="3">
        <v>10</v>
      </c>
      <c r="C11" s="3">
        <f t="shared" si="0"/>
        <v>0</v>
      </c>
      <c r="D11" s="3" t="s">
        <v>43</v>
      </c>
      <c r="E11" s="3">
        <v>2</v>
      </c>
      <c r="F11" s="4">
        <v>225</v>
      </c>
      <c r="G11" s="5">
        <f t="shared" si="1"/>
        <v>113</v>
      </c>
      <c r="H11" s="3">
        <v>1</v>
      </c>
      <c r="I11" s="3">
        <v>1</v>
      </c>
      <c r="J11" s="5">
        <f t="shared" si="2"/>
        <v>50</v>
      </c>
      <c r="K11" s="5"/>
      <c r="L11" s="10">
        <v>44885</v>
      </c>
    </row>
    <row r="12" spans="1:27" x14ac:dyDescent="0.2">
      <c r="A12" s="3">
        <v>11</v>
      </c>
      <c r="B12" s="3">
        <v>11</v>
      </c>
      <c r="C12" s="3">
        <f t="shared" si="0"/>
        <v>0</v>
      </c>
      <c r="D12" s="3" t="s">
        <v>28</v>
      </c>
      <c r="E12" s="3">
        <v>6</v>
      </c>
      <c r="F12" s="4">
        <v>675</v>
      </c>
      <c r="G12" s="5">
        <f t="shared" si="1"/>
        <v>113</v>
      </c>
      <c r="H12" s="3">
        <v>2</v>
      </c>
      <c r="I12" s="3">
        <v>4</v>
      </c>
      <c r="J12" s="5">
        <f t="shared" si="2"/>
        <v>33.333333333333329</v>
      </c>
      <c r="K12" s="5"/>
      <c r="L12" s="10">
        <v>45053</v>
      </c>
    </row>
    <row r="13" spans="1:27" x14ac:dyDescent="0.2">
      <c r="A13" s="3">
        <v>12</v>
      </c>
      <c r="B13" s="3">
        <v>12</v>
      </c>
      <c r="C13" s="3">
        <f t="shared" si="0"/>
        <v>0</v>
      </c>
      <c r="D13" s="3" t="s">
        <v>51</v>
      </c>
      <c r="E13" s="3">
        <v>9</v>
      </c>
      <c r="F13" s="4">
        <v>1013</v>
      </c>
      <c r="G13" s="5">
        <f t="shared" si="1"/>
        <v>113</v>
      </c>
      <c r="H13" s="3">
        <v>4</v>
      </c>
      <c r="I13" s="3">
        <v>5</v>
      </c>
      <c r="J13" s="5">
        <f t="shared" si="2"/>
        <v>44.444444444444443</v>
      </c>
      <c r="K13" s="5"/>
      <c r="L13" s="10">
        <v>45010</v>
      </c>
      <c r="M13" s="3" t="s">
        <v>13</v>
      </c>
      <c r="N13" s="6">
        <v>136</v>
      </c>
      <c r="O13" s="6">
        <v>42</v>
      </c>
      <c r="X13" s="3">
        <v>85</v>
      </c>
      <c r="Y13" s="3">
        <v>-5</v>
      </c>
    </row>
    <row r="14" spans="1:27" x14ac:dyDescent="0.2">
      <c r="A14" s="3">
        <v>13</v>
      </c>
      <c r="B14" s="3">
        <v>13</v>
      </c>
      <c r="C14" s="3">
        <f t="shared" si="0"/>
        <v>0</v>
      </c>
      <c r="D14" s="3" t="s">
        <v>35</v>
      </c>
      <c r="E14" s="3">
        <v>15</v>
      </c>
      <c r="F14" s="4">
        <v>1592</v>
      </c>
      <c r="G14" s="5">
        <f t="shared" si="1"/>
        <v>107</v>
      </c>
      <c r="H14" s="3">
        <v>8</v>
      </c>
      <c r="I14" s="3">
        <v>7</v>
      </c>
      <c r="J14" s="5">
        <f t="shared" si="2"/>
        <v>53.333333333333336</v>
      </c>
      <c r="K14" s="5"/>
      <c r="L14" s="10">
        <v>45010</v>
      </c>
      <c r="M14" s="3" t="s">
        <v>22</v>
      </c>
      <c r="N14" s="4">
        <v>367</v>
      </c>
      <c r="O14" s="4">
        <v>599</v>
      </c>
    </row>
    <row r="15" spans="1:27" x14ac:dyDescent="0.2">
      <c r="A15" s="3">
        <v>14</v>
      </c>
      <c r="B15" s="3">
        <v>14</v>
      </c>
      <c r="C15" s="3">
        <f t="shared" si="0"/>
        <v>0</v>
      </c>
      <c r="D15" s="3" t="s">
        <v>56</v>
      </c>
      <c r="E15" s="3">
        <v>9</v>
      </c>
      <c r="F15" s="4">
        <v>947</v>
      </c>
      <c r="G15" s="5">
        <f t="shared" si="1"/>
        <v>106</v>
      </c>
      <c r="H15" s="3">
        <v>4</v>
      </c>
      <c r="I15" s="3">
        <v>4</v>
      </c>
      <c r="J15" s="5">
        <f t="shared" si="2"/>
        <v>44.444444444444443</v>
      </c>
      <c r="K15" s="5"/>
      <c r="L15" s="10">
        <v>45018</v>
      </c>
      <c r="M15" s="3" t="s">
        <v>23</v>
      </c>
      <c r="N15" s="12">
        <f>SUM(N13:N14)</f>
        <v>503</v>
      </c>
      <c r="O15" s="13">
        <f>SUM(O13:O14)</f>
        <v>641</v>
      </c>
    </row>
    <row r="16" spans="1:27" x14ac:dyDescent="0.2">
      <c r="A16" s="3">
        <v>15</v>
      </c>
      <c r="B16" s="3">
        <v>15</v>
      </c>
      <c r="C16" s="3">
        <f t="shared" si="0"/>
        <v>0</v>
      </c>
      <c r="D16" s="3" t="s">
        <v>42</v>
      </c>
      <c r="E16" s="3">
        <v>14</v>
      </c>
      <c r="F16" s="4">
        <v>1450</v>
      </c>
      <c r="G16" s="5">
        <f t="shared" si="1"/>
        <v>104</v>
      </c>
      <c r="H16" s="3">
        <v>8</v>
      </c>
      <c r="I16" s="3">
        <v>6</v>
      </c>
      <c r="J16" s="5">
        <f t="shared" si="2"/>
        <v>57.142857142857139</v>
      </c>
      <c r="K16" s="5"/>
      <c r="L16" s="10">
        <v>44821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16</v>
      </c>
      <c r="C17" s="3">
        <f t="shared" si="0"/>
        <v>0</v>
      </c>
      <c r="D17" s="3" t="s">
        <v>29</v>
      </c>
      <c r="E17" s="3">
        <v>12</v>
      </c>
      <c r="F17" s="4">
        <v>1215</v>
      </c>
      <c r="G17" s="5">
        <f t="shared" si="1"/>
        <v>102</v>
      </c>
      <c r="H17" s="3">
        <v>7</v>
      </c>
      <c r="I17" s="3">
        <v>5</v>
      </c>
      <c r="J17" s="5">
        <f t="shared" si="2"/>
        <v>58.333333333333336</v>
      </c>
      <c r="K17" s="5"/>
      <c r="L17" s="10">
        <v>44814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17</v>
      </c>
      <c r="C18" s="3">
        <f t="shared" si="0"/>
        <v>0</v>
      </c>
      <c r="D18" s="3" t="s">
        <v>39</v>
      </c>
      <c r="E18" s="3">
        <v>8</v>
      </c>
      <c r="F18" s="4">
        <v>799</v>
      </c>
      <c r="G18" s="5">
        <f t="shared" si="1"/>
        <v>100</v>
      </c>
      <c r="H18" s="3">
        <v>5</v>
      </c>
      <c r="I18" s="3">
        <v>3</v>
      </c>
      <c r="J18" s="5">
        <f t="shared" si="2"/>
        <v>62.5</v>
      </c>
      <c r="K18" s="5"/>
      <c r="L18" s="10">
        <v>45024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18</v>
      </c>
      <c r="C19" s="3">
        <f t="shared" si="0"/>
        <v>0</v>
      </c>
      <c r="D19" s="3" t="s">
        <v>36</v>
      </c>
      <c r="E19" s="3">
        <v>15</v>
      </c>
      <c r="F19" s="4">
        <v>1492</v>
      </c>
      <c r="G19" s="5">
        <f t="shared" si="1"/>
        <v>100</v>
      </c>
      <c r="H19" s="3">
        <v>6</v>
      </c>
      <c r="I19" s="3">
        <v>9</v>
      </c>
      <c r="J19" s="5">
        <f t="shared" si="2"/>
        <v>40</v>
      </c>
      <c r="K19" s="5"/>
      <c r="L19" s="10">
        <v>44807</v>
      </c>
      <c r="N19" s="5"/>
    </row>
    <row r="20" spans="1:26" x14ac:dyDescent="0.2">
      <c r="A20" s="3">
        <v>19</v>
      </c>
      <c r="B20" s="3">
        <v>20</v>
      </c>
      <c r="C20" s="3">
        <f t="shared" si="0"/>
        <v>1</v>
      </c>
      <c r="D20" s="3" t="s">
        <v>37</v>
      </c>
      <c r="E20" s="3">
        <v>6</v>
      </c>
      <c r="F20" s="4">
        <v>579</v>
      </c>
      <c r="G20" s="5">
        <f t="shared" si="1"/>
        <v>97</v>
      </c>
      <c r="H20" s="3">
        <v>2</v>
      </c>
      <c r="I20" s="3">
        <v>4</v>
      </c>
      <c r="J20" s="5">
        <f t="shared" si="2"/>
        <v>33.333333333333329</v>
      </c>
      <c r="K20" s="5"/>
      <c r="L20" s="10">
        <v>45038</v>
      </c>
    </row>
    <row r="21" spans="1:26" x14ac:dyDescent="0.2">
      <c r="A21" s="3">
        <v>20</v>
      </c>
      <c r="B21" s="3">
        <v>19</v>
      </c>
      <c r="C21" s="3">
        <f t="shared" si="0"/>
        <v>-1</v>
      </c>
      <c r="D21" s="3" t="s">
        <v>60</v>
      </c>
      <c r="E21" s="3">
        <v>5</v>
      </c>
      <c r="F21" s="4">
        <v>503</v>
      </c>
      <c r="G21" s="5">
        <f t="shared" si="1"/>
        <v>101</v>
      </c>
      <c r="H21" s="3">
        <v>2</v>
      </c>
      <c r="I21" s="3">
        <v>3</v>
      </c>
      <c r="J21" s="5">
        <f t="shared" si="2"/>
        <v>40</v>
      </c>
      <c r="K21" s="5"/>
      <c r="L21" s="10">
        <v>45080</v>
      </c>
      <c r="N21" s="11" t="s">
        <v>30</v>
      </c>
      <c r="O21" s="10">
        <f ca="1">NOW()</f>
        <v>45080.597965740744</v>
      </c>
    </row>
    <row r="22" spans="1:26" x14ac:dyDescent="0.2">
      <c r="A22" s="3">
        <v>21</v>
      </c>
      <c r="B22" s="3">
        <v>22</v>
      </c>
      <c r="C22" s="3">
        <f t="shared" si="0"/>
        <v>1</v>
      </c>
      <c r="D22" s="3" t="s">
        <v>47</v>
      </c>
      <c r="E22" s="3">
        <v>8</v>
      </c>
      <c r="F22" s="4">
        <v>641</v>
      </c>
      <c r="G22" s="5">
        <f t="shared" si="1"/>
        <v>81</v>
      </c>
      <c r="H22" s="3">
        <v>4</v>
      </c>
      <c r="I22" s="3">
        <v>4</v>
      </c>
      <c r="J22" s="5">
        <f t="shared" si="2"/>
        <v>50</v>
      </c>
      <c r="K22" s="5"/>
      <c r="L22" s="10">
        <v>45080</v>
      </c>
    </row>
    <row r="23" spans="1:26" x14ac:dyDescent="0.2">
      <c r="A23" s="3">
        <v>22</v>
      </c>
      <c r="B23" s="3">
        <v>21</v>
      </c>
      <c r="C23" s="3">
        <f t="shared" si="0"/>
        <v>-1</v>
      </c>
      <c r="D23" s="3" t="s">
        <v>33</v>
      </c>
      <c r="E23" s="3">
        <v>4</v>
      </c>
      <c r="F23" s="4">
        <v>328</v>
      </c>
      <c r="G23" s="5">
        <f t="shared" si="1"/>
        <v>82</v>
      </c>
      <c r="H23" s="3">
        <v>2</v>
      </c>
      <c r="I23" s="3">
        <v>2</v>
      </c>
      <c r="J23" s="5">
        <f t="shared" si="2"/>
        <v>50</v>
      </c>
      <c r="K23" s="5"/>
      <c r="L23" s="10">
        <v>44807</v>
      </c>
    </row>
    <row r="24" spans="1:26" x14ac:dyDescent="0.2">
      <c r="A24" s="3">
        <v>23</v>
      </c>
      <c r="B24" s="3">
        <v>23</v>
      </c>
      <c r="C24" s="3">
        <f t="shared" si="0"/>
        <v>0</v>
      </c>
      <c r="D24" s="3" t="s">
        <v>58</v>
      </c>
      <c r="E24" s="3">
        <v>3</v>
      </c>
      <c r="F24" s="4">
        <v>230</v>
      </c>
      <c r="G24" s="5">
        <f t="shared" si="1"/>
        <v>77</v>
      </c>
      <c r="H24" s="3">
        <v>1</v>
      </c>
      <c r="I24" s="3">
        <v>2</v>
      </c>
      <c r="J24" s="5">
        <f t="shared" si="2"/>
        <v>33.333333333333329</v>
      </c>
      <c r="K24" s="5"/>
      <c r="L24" s="10">
        <v>44941</v>
      </c>
    </row>
    <row r="25" spans="1:26" x14ac:dyDescent="0.2">
      <c r="A25" s="3">
        <v>24</v>
      </c>
      <c r="B25" s="3">
        <v>25</v>
      </c>
      <c r="C25" s="3">
        <f t="shared" si="0"/>
        <v>1</v>
      </c>
      <c r="D25" s="3" t="s">
        <v>40</v>
      </c>
      <c r="E25" s="3">
        <v>5</v>
      </c>
      <c r="F25" s="4">
        <v>303</v>
      </c>
      <c r="G25" s="5">
        <f t="shared" si="1"/>
        <v>61</v>
      </c>
      <c r="H25" s="3">
        <v>1</v>
      </c>
      <c r="I25" s="3">
        <v>4</v>
      </c>
      <c r="J25" s="5">
        <f t="shared" si="2"/>
        <v>20</v>
      </c>
      <c r="K25" s="5"/>
      <c r="L25" s="10">
        <v>45059</v>
      </c>
    </row>
    <row r="26" spans="1:26" x14ac:dyDescent="0.2">
      <c r="A26" s="3">
        <v>25</v>
      </c>
      <c r="B26" s="3">
        <v>24</v>
      </c>
      <c r="C26" s="3">
        <f t="shared" si="0"/>
        <v>-1</v>
      </c>
      <c r="D26" s="3" t="s">
        <v>53</v>
      </c>
      <c r="E26" s="3">
        <v>9</v>
      </c>
      <c r="F26" s="4">
        <v>538</v>
      </c>
      <c r="G26" s="5">
        <f t="shared" si="1"/>
        <v>60</v>
      </c>
      <c r="H26" s="3">
        <v>3</v>
      </c>
      <c r="I26" s="3">
        <v>6</v>
      </c>
      <c r="J26" s="5">
        <f t="shared" si="2"/>
        <v>33.333333333333329</v>
      </c>
      <c r="K26" s="5"/>
      <c r="L26" s="10">
        <v>45073</v>
      </c>
    </row>
    <row r="27" spans="1:26" x14ac:dyDescent="0.2">
      <c r="A27" s="3">
        <v>26</v>
      </c>
      <c r="B27" s="3">
        <v>26</v>
      </c>
      <c r="C27" s="3">
        <f t="shared" si="0"/>
        <v>0</v>
      </c>
      <c r="D27" s="3" t="s">
        <v>41</v>
      </c>
      <c r="E27" s="3">
        <v>1</v>
      </c>
      <c r="F27" s="4">
        <v>50</v>
      </c>
      <c r="G27" s="5">
        <f t="shared" si="1"/>
        <v>50</v>
      </c>
      <c r="H27" s="3">
        <v>0</v>
      </c>
      <c r="I27" s="3">
        <v>1</v>
      </c>
      <c r="J27" s="5">
        <f t="shared" si="2"/>
        <v>0</v>
      </c>
      <c r="K27" s="5"/>
      <c r="L27" s="10">
        <v>44835</v>
      </c>
    </row>
    <row r="28" spans="1:26" x14ac:dyDescent="0.2">
      <c r="A28" s="3">
        <v>27</v>
      </c>
      <c r="B28" s="3">
        <v>27</v>
      </c>
      <c r="C28" s="3">
        <f t="shared" si="0"/>
        <v>0</v>
      </c>
      <c r="D28" s="3" t="s">
        <v>44</v>
      </c>
      <c r="E28" s="3">
        <v>1</v>
      </c>
      <c r="F28" s="4">
        <v>50</v>
      </c>
      <c r="G28" s="5">
        <f t="shared" si="1"/>
        <v>50</v>
      </c>
      <c r="H28" s="3">
        <v>0</v>
      </c>
      <c r="I28" s="3">
        <v>1</v>
      </c>
      <c r="J28" s="5">
        <f t="shared" si="2"/>
        <v>0</v>
      </c>
      <c r="K28" s="5"/>
      <c r="L28" s="10">
        <v>44836</v>
      </c>
    </row>
    <row r="29" spans="1:26" x14ac:dyDescent="0.2">
      <c r="A29" s="3">
        <v>28</v>
      </c>
      <c r="B29" s="3">
        <v>28</v>
      </c>
      <c r="C29" s="3">
        <f t="shared" si="0"/>
        <v>0</v>
      </c>
      <c r="D29" s="3" t="s">
        <v>46</v>
      </c>
      <c r="E29" s="3">
        <v>1</v>
      </c>
      <c r="F29" s="4">
        <v>50</v>
      </c>
      <c r="G29" s="5">
        <f t="shared" si="1"/>
        <v>50</v>
      </c>
      <c r="H29" s="3">
        <v>0</v>
      </c>
      <c r="I29" s="3">
        <v>1</v>
      </c>
      <c r="J29" s="5">
        <f t="shared" si="2"/>
        <v>0</v>
      </c>
      <c r="K29" s="5"/>
      <c r="L29" s="10">
        <v>44723</v>
      </c>
    </row>
    <row r="30" spans="1:26" x14ac:dyDescent="0.2">
      <c r="A30" s="3">
        <v>29</v>
      </c>
      <c r="B30" s="3">
        <v>29</v>
      </c>
      <c r="C30" s="3">
        <f t="shared" si="0"/>
        <v>0</v>
      </c>
      <c r="D30" s="3" t="s">
        <v>50</v>
      </c>
      <c r="E30" s="3">
        <v>1</v>
      </c>
      <c r="F30" s="4">
        <v>50</v>
      </c>
      <c r="G30" s="5">
        <f t="shared" si="1"/>
        <v>50</v>
      </c>
      <c r="H30" s="3">
        <v>0</v>
      </c>
      <c r="I30" s="3">
        <v>1</v>
      </c>
      <c r="J30" s="5">
        <f t="shared" si="2"/>
        <v>0</v>
      </c>
      <c r="K30" s="5"/>
      <c r="L30" s="10">
        <v>44843</v>
      </c>
    </row>
    <row r="31" spans="1:26" x14ac:dyDescent="0.2">
      <c r="A31" s="3">
        <v>30</v>
      </c>
      <c r="B31" s="3">
        <v>30</v>
      </c>
      <c r="C31" s="3">
        <f t="shared" si="0"/>
        <v>0</v>
      </c>
      <c r="D31" s="3" t="s">
        <v>52</v>
      </c>
      <c r="E31" s="3">
        <v>1</v>
      </c>
      <c r="F31" s="4">
        <v>50</v>
      </c>
      <c r="G31" s="5">
        <f t="shared" si="1"/>
        <v>50</v>
      </c>
      <c r="H31" s="3">
        <v>0</v>
      </c>
      <c r="I31" s="3">
        <v>1</v>
      </c>
      <c r="J31" s="5">
        <f t="shared" si="2"/>
        <v>0</v>
      </c>
      <c r="L31" s="10">
        <v>44849</v>
      </c>
    </row>
    <row r="32" spans="1:26" x14ac:dyDescent="0.2">
      <c r="A32" s="3">
        <v>31</v>
      </c>
      <c r="B32" s="3">
        <v>31</v>
      </c>
      <c r="C32" s="3">
        <f t="shared" si="0"/>
        <v>0</v>
      </c>
      <c r="D32" s="3" t="s">
        <v>34</v>
      </c>
      <c r="E32" s="3">
        <v>3</v>
      </c>
      <c r="F32" s="4">
        <v>85</v>
      </c>
      <c r="G32" s="5">
        <f t="shared" si="1"/>
        <v>29</v>
      </c>
      <c r="H32" s="3">
        <v>0</v>
      </c>
      <c r="I32" s="3">
        <v>3</v>
      </c>
      <c r="J32" s="5">
        <f t="shared" si="2"/>
        <v>0</v>
      </c>
      <c r="K32" s="5"/>
      <c r="L32" s="10">
        <v>44723</v>
      </c>
    </row>
    <row r="33" spans="1:11" x14ac:dyDescent="0.2">
      <c r="A33" s="3">
        <v>32</v>
      </c>
      <c r="B33" s="3">
        <v>32</v>
      </c>
      <c r="C33" s="3">
        <f t="shared" ref="C33:C35" si="3">B33-A33</f>
        <v>0</v>
      </c>
      <c r="G33" s="5"/>
      <c r="J33" s="5"/>
      <c r="K33" s="5"/>
    </row>
    <row r="34" spans="1:11" x14ac:dyDescent="0.2">
      <c r="A34" s="3">
        <v>33</v>
      </c>
      <c r="B34" s="3">
        <v>33</v>
      </c>
      <c r="C34" s="3">
        <f t="shared" si="3"/>
        <v>0</v>
      </c>
      <c r="G34" s="5"/>
      <c r="J34" s="5"/>
      <c r="K34" s="5"/>
    </row>
    <row r="35" spans="1:11" x14ac:dyDescent="0.2">
      <c r="A35" s="3">
        <v>34</v>
      </c>
      <c r="B35" s="3">
        <v>34</v>
      </c>
      <c r="C35" s="3">
        <f t="shared" si="3"/>
        <v>0</v>
      </c>
      <c r="G35" s="5"/>
      <c r="J35" s="5"/>
      <c r="K35" s="5"/>
    </row>
    <row r="36" spans="1:11" x14ac:dyDescent="0.2">
      <c r="G36" s="5"/>
      <c r="J36" s="5"/>
      <c r="K36" s="5"/>
    </row>
    <row r="37" spans="1:11" x14ac:dyDescent="0.2">
      <c r="G37" s="5"/>
      <c r="J37" s="5"/>
      <c r="K37" s="5"/>
    </row>
    <row r="38" spans="1:11" x14ac:dyDescent="0.2">
      <c r="G38" s="5"/>
      <c r="J38" s="5"/>
      <c r="K38" s="5"/>
    </row>
  </sheetData>
  <sortState xmlns:xlrd2="http://schemas.microsoft.com/office/spreadsheetml/2017/richdata2" ref="B1:L32">
    <sortCondition descending="1" ref="G1:G32"/>
    <sortCondition ref="E1:E32"/>
    <sortCondition descending="1" ref="J1:J32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2023-06-03T06:21:06Z</dcterms:modified>
</cp:coreProperties>
</file>