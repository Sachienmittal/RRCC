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3BB695FB-10D5-4B3C-B84C-AF09ED89AA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0" l="1"/>
  <c r="J19" i="10"/>
  <c r="J9" i="10"/>
  <c r="G19" i="10"/>
  <c r="G9" i="10"/>
  <c r="J24" i="10"/>
  <c r="G24" i="10"/>
  <c r="N15" i="10"/>
  <c r="O15" i="10"/>
  <c r="J5" i="10"/>
  <c r="J16" i="10"/>
  <c r="G5" i="10"/>
  <c r="G16" i="10"/>
  <c r="J2" i="10"/>
  <c r="G2" i="10"/>
  <c r="J10" i="10"/>
  <c r="G10" i="10"/>
  <c r="J26" i="10"/>
  <c r="G26" i="10"/>
  <c r="J31" i="10"/>
  <c r="J13" i="10"/>
  <c r="G31" i="10"/>
  <c r="G13" i="10"/>
  <c r="J30" i="10"/>
  <c r="J7" i="10"/>
  <c r="G30" i="10"/>
  <c r="G7" i="10"/>
  <c r="J3" i="10"/>
  <c r="G3" i="10"/>
  <c r="J23" i="10"/>
  <c r="G23" i="10"/>
  <c r="J29" i="10"/>
  <c r="J8" i="10"/>
  <c r="G29" i="10"/>
  <c r="G8" i="10"/>
  <c r="J28" i="10"/>
  <c r="J11" i="10"/>
  <c r="G28" i="10"/>
  <c r="G11" i="10"/>
  <c r="J27" i="10"/>
  <c r="G27" i="10"/>
  <c r="J25" i="10"/>
  <c r="G25" i="10"/>
  <c r="J14" i="10"/>
  <c r="G14" i="10"/>
  <c r="J6" i="10"/>
  <c r="G6" i="10"/>
  <c r="J21" i="10"/>
  <c r="G21" i="10"/>
  <c r="J20" i="10"/>
  <c r="J15" i="10"/>
  <c r="G15" i="10"/>
  <c r="J32" i="10"/>
  <c r="G32" i="10"/>
  <c r="J12" i="10"/>
  <c r="G12" i="10"/>
  <c r="O21" i="10"/>
  <c r="C35" i="10" l="1"/>
  <c r="C31" i="10"/>
  <c r="Q3" i="10" l="1"/>
  <c r="R3" i="10"/>
  <c r="J4" i="10" l="1"/>
  <c r="G4" i="10"/>
  <c r="C25" i="10" l="1"/>
  <c r="C18" i="10"/>
  <c r="C17" i="10"/>
  <c r="C22" i="10"/>
  <c r="C32" i="10"/>
  <c r="C6" i="10"/>
  <c r="C21" i="10"/>
  <c r="C20" i="10"/>
  <c r="C27" i="10"/>
  <c r="C11" i="10"/>
  <c r="C14" i="10"/>
  <c r="C28" i="10"/>
  <c r="C29" i="10"/>
  <c r="C7" i="10"/>
  <c r="C23" i="10"/>
  <c r="C26" i="10"/>
  <c r="C2" i="10"/>
  <c r="C33" i="10"/>
  <c r="C24" i="10"/>
  <c r="C9" i="10"/>
  <c r="C10" i="10"/>
  <c r="C16" i="10"/>
  <c r="C34" i="10"/>
  <c r="J18" i="10" l="1"/>
  <c r="G18" i="10"/>
  <c r="G22" i="10" l="1"/>
  <c r="J22" i="10"/>
  <c r="J17" i="10" l="1"/>
  <c r="G17" i="10"/>
  <c r="S3" i="10" s="1"/>
  <c r="T3" i="10" l="1"/>
  <c r="V3" i="10" s="1"/>
  <c r="U3" i="10" l="1"/>
  <c r="C8" i="10"/>
  <c r="C5" i="10"/>
  <c r="C12" i="10"/>
  <c r="N4" i="10" l="1"/>
  <c r="O4" i="10"/>
  <c r="C3" i="10"/>
  <c r="C13" i="10"/>
  <c r="C4" i="10"/>
  <c r="C19" i="10"/>
  <c r="C30" i="10"/>
  <c r="C15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<sst xmlns="http://schemas.openxmlformats.org/spreadsheetml/2006/main" count="104" uniqueCount="90">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</sst>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G20" sqref="G20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39</v>
      </c>
      <c r="O3" s="3" t="s">
        <v>59</v>
      </c>
      <c r="Q3" s="3">
        <f>VLOOKUP(N3,$D$2:$G$49,3,FALSE)</f>
        <v>1065</v>
      </c>
      <c r="R3" s="3">
        <f>VLOOKUP(O3,$D$2:$G$49,3,FALSE)</f>
        <v>721</v>
      </c>
      <c r="S3" s="3">
        <f>VLOOKUP(N3,$D$2:$G$49,4,FALSE)</f>
        <v>107</v>
      </c>
      <c r="T3" s="3">
        <f>VLOOKUP(O3,$D$2:$G$49,4,FALSE)</f>
        <v>121</v>
      </c>
      <c r="U3" s="3">
        <f>IF(S3&gt;T3,S3-T3,T3-S3)</f>
        <v>14</v>
      </c>
      <c r="V3" s="3">
        <f>S3-T3</f>
        <v>-14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171</v>
      </c>
      <c r="O4" s="6">
        <f>IF($U$3&lt;40,$S$3-50,IF($V$3&gt;0,$T$3-10,$T$3-90))</f>
        <v>57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57</v>
      </c>
      <c r="E5" s="3">
        <v>7</v>
      </c>
      <c r="F5" s="4">
        <v>1014</v>
      </c>
      <c r="G5" s="5">
        <f>CEILING(F5/E5,1)</f>
        <v>145</v>
      </c>
      <c r="H5" s="3">
        <v>6</v>
      </c>
      <c r="I5" s="3">
        <v>1</v>
      </c>
      <c r="J5" s="5">
        <f>(H5/E5)*100</f>
        <v>85.714285714285708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38</v>
      </c>
      <c r="E6" s="3">
        <v>2</v>
      </c>
      <c r="F6" s="4">
        <v>273</v>
      </c>
      <c r="G6" s="5">
        <f>CEILING(F6/E6,1)</f>
        <v>137</v>
      </c>
      <c r="H6" s="3">
        <v>1</v>
      </c>
      <c r="I6" s="3">
        <v>1</v>
      </c>
      <c r="J6" s="5">
        <f>(H6/E6)*100</f>
        <v>50</v>
      </c>
      <c r="K6" s="5"/>
      <c r="L6" s="10">
        <v>45024</v>
      </c>
    </row>
    <row r="7" spans="1:27" x14ac:dyDescent="0.2">
      <c r="A7" s="3">
        <v>6</v>
      </c>
      <c r="B7" s="3">
        <v>7</v>
      </c>
      <c r="C7" s="3">
        <f>B7-A7</f>
        <v>1</v>
      </c>
      <c r="D7" s="3" t="s">
        <v>49</v>
      </c>
      <c r="E7" s="3">
        <v>2</v>
      </c>
      <c r="F7" s="4">
        <v>250</v>
      </c>
      <c r="G7" s="5">
        <f>CEILING(F7/E7,1)</f>
        <v>125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8</v>
      </c>
      <c r="C8" s="3">
        <f>B8-A8</f>
        <v>1</v>
      </c>
      <c r="D8" s="3" t="s">
        <v>45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6</v>
      </c>
      <c r="C9" s="3">
        <f>B9-A9</f>
        <v>-2</v>
      </c>
      <c r="D9" s="3" t="s">
        <v>59</v>
      </c>
      <c r="E9" s="3">
        <v>6</v>
      </c>
      <c r="F9" s="4">
        <v>721</v>
      </c>
      <c r="G9" s="5">
        <f>CEILING(F9/E9,1)</f>
        <v>121</v>
      </c>
      <c r="H9" s="3">
        <v>4</v>
      </c>
      <c r="I9" s="3">
        <v>2</v>
      </c>
      <c r="J9" s="5">
        <f>(H9/E9)*100</f>
        <v>66.666666666666657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45053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185</v>
      </c>
      <c r="O13" s="6">
        <v>48</v>
      </c>
      <c r="X13" s="3">
        <v>85</v>
      </c>
      <c r="Y13" s="3">
        <v>-5</v>
      </c>
    </row>
    <row r="14" spans="1:27" x14ac:dyDescent="0.2">
      <c r="A14" s="3">
        <v>13</v>
      </c>
      <c r="B14" s="3">
        <v>19</v>
      </c>
      <c r="C14" s="3">
        <f>B14-A14</f>
        <v>6</v>
      </c>
      <c r="D14" s="3" t="s">
        <v>39</v>
      </c>
      <c r="E14" s="3">
        <v>10</v>
      </c>
      <c r="F14" s="4">
        <v>1065</v>
      </c>
      <c r="G14" s="5">
        <f>CEILING(F14/E14,1)</f>
        <v>107</v>
      </c>
      <c r="H14" s="3">
        <v>6</v>
      </c>
      <c r="I14" s="3">
        <v>4</v>
      </c>
      <c r="J14" s="5">
        <f>(H14/E14)*100</f>
        <v>60</v>
      </c>
      <c r="K14" s="5"/>
      <c r="L14" s="10">
        <v>45024</v>
      </c>
      <c r="M14" s="3" t="s">
        <v>22</v>
      </c>
      <c r="N14" s="4">
        <v>880</v>
      </c>
      <c r="O14" s="4">
        <v>673</v>
      </c>
    </row>
    <row r="15" spans="1:27" x14ac:dyDescent="0.2">
      <c r="A15" s="3">
        <v>14</v>
      </c>
      <c r="B15" s="3">
        <v>13</v>
      </c>
      <c r="C15" s="3">
        <f>B15-A15</f>
        <v>-1</v>
      </c>
      <c r="D15" s="3" t="s">
        <v>35</v>
      </c>
      <c r="E15" s="3">
        <v>15</v>
      </c>
      <c r="F15" s="4">
        <v>1592</v>
      </c>
      <c r="G15" s="5">
        <f>CEILING(F15/E15,1)</f>
        <v>107</v>
      </c>
      <c r="H15" s="3">
        <v>8</v>
      </c>
      <c r="I15" s="3">
        <v>7</v>
      </c>
      <c r="J15" s="5">
        <f>(H15/E15)*100</f>
        <v>53.333333333333336</v>
      </c>
      <c r="K15" s="5"/>
      <c r="L15" s="10">
        <v>45010</v>
      </c>
      <c r="M15" s="3" t="s">
        <v>23</v>
      </c>
      <c r="N15" s="12">
        <f>SUM(N13:N14)</f>
        <v>1065</v>
      </c>
      <c r="O15" s="13">
        <f>SUM(O13:O14)</f>
        <v>721</v>
      </c>
    </row>
    <row r="16" spans="1:27" x14ac:dyDescent="0.2">
      <c r="A16" s="3">
        <v>15</v>
      </c>
      <c r="B16" s="3">
        <v>14</v>
      </c>
      <c r="C16" s="3">
        <f>B16-A16</f>
        <v>-1</v>
      </c>
      <c r="D16" s="3" t="s">
        <v>56</v>
      </c>
      <c r="E16" s="3">
        <v>9</v>
      </c>
      <c r="F16" s="4">
        <v>947</v>
      </c>
      <c r="G16" s="5">
        <f>CEILING(F16/E16,1)</f>
        <v>106</v>
      </c>
      <c r="H16" s="3">
        <v>4</v>
      </c>
      <c r="I16" s="3">
        <v>4</v>
      </c>
      <c r="J16" s="5">
        <f>(H16/E16)*100</f>
        <v>44.444444444444443</v>
      </c>
      <c r="K16" s="5"/>
      <c r="L16" s="10">
        <v>45018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15</v>
      </c>
      <c r="C17" s="3">
        <f>B17-A17</f>
        <v>-1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16</v>
      </c>
      <c r="C18" s="3">
        <f>B18-A18</f>
        <v>-1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17</v>
      </c>
      <c r="C19" s="3">
        <f>B19-A19</f>
        <v>-1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18</v>
      </c>
      <c r="C20" s="3">
        <f>B20-A20</f>
        <v>-1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37</v>
      </c>
      <c r="E21" s="3">
        <v>6</v>
      </c>
      <c r="F21" s="4">
        <v>579</v>
      </c>
      <c r="G21" s="5">
        <f>CEILING(F21/E21,1)</f>
        <v>97</v>
      </c>
      <c r="H21" s="3">
        <v>2</v>
      </c>
      <c r="I21" s="3">
        <v>4</v>
      </c>
      <c r="J21" s="5">
        <f>(H21/E21)*100</f>
        <v>33.333333333333329</v>
      </c>
      <c r="K21" s="5"/>
      <c r="L21" s="10">
        <v>45038</v>
      </c>
      <c r="N21" s="11" t="s">
        <v>30</v>
      </c>
      <c r="O21" s="10">
        <f ca="1">NOW()</f>
        <v>45094.539690046295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47</v>
      </c>
      <c r="E23" s="3">
        <v>8</v>
      </c>
      <c r="F23" s="4">
        <v>641</v>
      </c>
      <c r="G23" s="5">
        <f>CEILING(F23/E23,1)</f>
        <v>81</v>
      </c>
      <c r="H23" s="3">
        <v>4</v>
      </c>
      <c r="I23" s="3">
        <v>4</v>
      </c>
      <c r="J23" s="5">
        <f>(H23/E23)*100</f>
        <v>50</v>
      </c>
      <c r="K23" s="5"/>
      <c r="L23" s="10">
        <v>45080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40</v>
      </c>
      <c r="E25" s="3">
        <v>5</v>
      </c>
      <c r="F25" s="4">
        <v>303</v>
      </c>
      <c r="G25" s="5">
        <f>CEILING(F25/E25,1)</f>
        <v>61</v>
      </c>
      <c r="H25" s="3">
        <v>1</v>
      </c>
      <c r="I25" s="3">
        <v>4</v>
      </c>
      <c r="J25" s="5">
        <f>(H25/E25)*100</f>
        <v>20</v>
      </c>
      <c r="K25" s="5"/>
      <c r="L25" s="10">
        <v>45059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53</v>
      </c>
      <c r="E26" s="3">
        <v>9</v>
      </c>
      <c r="F26" s="4">
        <v>538</v>
      </c>
      <c r="G26" s="5">
        <f>CEILING(F26/E26,1)</f>
        <v>60</v>
      </c>
      <c r="H26" s="3">
        <v>3</v>
      </c>
      <c r="I26" s="3">
        <v>6</v>
      </c>
      <c r="J26" s="5">
        <f>(H26/E26)*100</f>
        <v>33.333333333333329</v>
      </c>
      <c r="K26" s="5"/>
      <c r="L26" s="10">
        <v>45073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2023-06-17T04:57:10Z</dcterms:modified>
</cp:coreProperties>
</file>