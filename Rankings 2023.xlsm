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0ADFEAAA-D9A2-4272-A937-1999F21521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1" i="10" l="1"/>
  <c r="J5" i="10"/>
  <c r="G31" i="10"/>
  <c r="G5" i="10"/>
  <c r="J22" i="10"/>
  <c r="G22" i="10"/>
  <c r="N15" i="10"/>
  <c r="O15" i="10"/>
  <c r="J6" i="10"/>
  <c r="J15" i="10"/>
  <c r="G6" i="10"/>
  <c r="G15" i="10"/>
  <c r="J2" i="10"/>
  <c r="G2" i="10"/>
  <c r="J11" i="10"/>
  <c r="G11" i="10"/>
  <c r="J25" i="10"/>
  <c r="G25" i="10"/>
  <c r="J30" i="10"/>
  <c r="J13" i="10"/>
  <c r="G30" i="10"/>
  <c r="G13" i="10"/>
  <c r="J29" i="10"/>
  <c r="J9" i="10"/>
  <c r="G29" i="10"/>
  <c r="G9" i="10"/>
  <c r="J3" i="10"/>
  <c r="G3" i="10"/>
  <c r="J23" i="10"/>
  <c r="G23" i="10"/>
  <c r="J28" i="10"/>
  <c r="J10" i="10"/>
  <c r="G28" i="10"/>
  <c r="G10" i="10"/>
  <c r="J27" i="10"/>
  <c r="J12" i="10"/>
  <c r="G27" i="10"/>
  <c r="G12" i="10"/>
  <c r="J26" i="10"/>
  <c r="G26" i="10"/>
  <c r="J24" i="10"/>
  <c r="G24" i="10"/>
  <c r="J20" i="10"/>
  <c r="G20" i="10"/>
  <c r="J7" i="10"/>
  <c r="G7" i="10"/>
  <c r="J19" i="10"/>
  <c r="G19" i="10"/>
  <c r="J18" i="10"/>
  <c r="J14" i="10"/>
  <c r="G18" i="10"/>
  <c r="G14" i="10"/>
  <c r="J32" i="10"/>
  <c r="G32" i="10"/>
  <c r="J8" i="10"/>
  <c r="G8" i="10"/>
  <c r="O21" i="10"/>
  <c r="C35" i="10" l="1"/>
  <c r="C30" i="10"/>
  <c r="Q3" i="10" l="1"/>
  <c r="R3" i="10"/>
  <c r="J4" i="10" l="1"/>
  <c r="G4" i="10"/>
  <c r="C24" i="10" l="1"/>
  <c r="C17" i="10"/>
  <c r="C16" i="10"/>
  <c r="C21" i="10"/>
  <c r="C32" i="10"/>
  <c r="C7" i="10"/>
  <c r="C19" i="10"/>
  <c r="C18" i="10"/>
  <c r="C26" i="10"/>
  <c r="C12" i="10"/>
  <c r="C20" i="10"/>
  <c r="C27" i="10"/>
  <c r="C28" i="10"/>
  <c r="C9" i="10"/>
  <c r="C23" i="10"/>
  <c r="C25" i="10"/>
  <c r="C2" i="10"/>
  <c r="C33" i="10"/>
  <c r="C22" i="10"/>
  <c r="C5" i="10"/>
  <c r="C11" i="10"/>
  <c r="C15" i="10"/>
  <c r="C34" i="10"/>
  <c r="J17" i="10" l="1"/>
  <c r="G17" i="10"/>
  <c r="G21" i="10" l="1"/>
  <c r="J21" i="10"/>
  <c r="J16" i="10" l="1"/>
  <c r="G16" i="10"/>
  <c r="S3" i="10" s="1"/>
  <c r="T3" i="10" l="1"/>
  <c r="V3" i="10" s="1"/>
  <c r="U3" i="10" l="1"/>
  <c r="C10" i="10"/>
  <c r="C6" i="10"/>
  <c r="C8" i="10"/>
  <c r="N4" i="10" l="1"/>
  <c r="O4" i="10"/>
  <c r="C3" i="10"/>
  <c r="C13" i="10"/>
  <c r="C4" i="10"/>
  <c r="C31" i="10"/>
  <c r="C29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<sst xmlns="http://schemas.openxmlformats.org/spreadsheetml/2006/main" count="104" uniqueCount="90">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</sst>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H19" sqref="H19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53</v>
      </c>
      <c r="O3" s="3" t="s">
        <v>40</v>
      </c>
      <c r="Q3" s="3">
        <f>VLOOKUP(N3,$D$2:$G$49,3,FALSE)</f>
        <v>470</v>
      </c>
      <c r="R3" s="3">
        <f>VLOOKUP(O3,$D$2:$G$49,3,FALSE)</f>
        <v>280</v>
      </c>
      <c r="S3" s="3">
        <f>VLOOKUP(N3,$D$2:$G$49,4,FALSE)</f>
        <v>68</v>
      </c>
      <c r="T3" s="3">
        <f>VLOOKUP(O3,$D$2:$G$49,4,FALSE)</f>
        <v>70</v>
      </c>
      <c r="U3" s="3">
        <f>IF(S3&gt;T3,S3-T3,T3-S3)</f>
        <v>2</v>
      </c>
      <c r="V3" s="3">
        <f>S3-T3</f>
        <v>-2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120</v>
      </c>
      <c r="O4" s="6">
        <f>IF($U$3&lt;40,$S$3-50,IF($V$3&gt;0,$T$3-10,$T$3-90))</f>
        <v>18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30</v>
      </c>
      <c r="C5" s="3">
        <f>B5-A5</f>
        <v>26</v>
      </c>
      <c r="D5" s="3" t="s">
        <v>59</v>
      </c>
      <c r="E5" s="3">
        <v>2</v>
      </c>
      <c r="F5" s="4">
        <v>310</v>
      </c>
      <c r="G5" s="5">
        <f>CEILING(F5/E5,1)</f>
        <v>155</v>
      </c>
      <c r="H5" s="3">
        <v>2</v>
      </c>
      <c r="I5" s="3">
        <v>0</v>
      </c>
      <c r="J5" s="5">
        <f>(H5/E5)*100</f>
        <v>100</v>
      </c>
      <c r="K5" s="5"/>
      <c r="L5" s="10">
        <v>45032</v>
      </c>
    </row>
    <row r="6" spans="1:27" x14ac:dyDescent="0.2">
      <c r="A6" s="3">
        <v>5</v>
      </c>
      <c r="B6" s="3">
        <v>6</v>
      </c>
      <c r="C6" s="3">
        <f>B6-A6</f>
        <v>1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45024</v>
      </c>
    </row>
    <row r="7" spans="1:27" x14ac:dyDescent="0.2">
      <c r="A7" s="3">
        <v>6</v>
      </c>
      <c r="B7" s="3">
        <v>7</v>
      </c>
      <c r="C7" s="3">
        <f>B7-A7</f>
        <v>1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4</v>
      </c>
      <c r="C8" s="3">
        <f>B8-A8</f>
        <v>-3</v>
      </c>
      <c r="D8" s="3" t="s">
        <v>28</v>
      </c>
      <c r="E8" s="3">
        <v>5</v>
      </c>
      <c r="F8" s="4">
        <v>637</v>
      </c>
      <c r="G8" s="5">
        <f>CEILING(F8/E8,1)</f>
        <v>128</v>
      </c>
      <c r="H8" s="3">
        <v>2</v>
      </c>
      <c r="I8" s="3">
        <v>3</v>
      </c>
      <c r="J8" s="5">
        <f>(H8/E8)*100</f>
        <v>40</v>
      </c>
      <c r="K8" s="5"/>
      <c r="L8" s="10">
        <v>45039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49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44871</v>
      </c>
    </row>
    <row r="10" spans="1:27" x14ac:dyDescent="0.2">
      <c r="A10" s="3">
        <v>9</v>
      </c>
      <c r="B10" s="3">
        <v>16</v>
      </c>
      <c r="C10" s="3">
        <f>B10-A10</f>
        <v>7</v>
      </c>
      <c r="D10" s="3" t="s">
        <v>45</v>
      </c>
      <c r="E10" s="3">
        <v>2</v>
      </c>
      <c r="F10" s="4">
        <v>250</v>
      </c>
      <c r="G10" s="5">
        <f>CEILING(F10/E10,1)</f>
        <v>125</v>
      </c>
      <c r="H10" s="3">
        <v>1</v>
      </c>
      <c r="I10" s="3">
        <v>1</v>
      </c>
      <c r="J10" s="5">
        <f>(H10/E10)*100</f>
        <v>50</v>
      </c>
      <c r="K10" s="5"/>
      <c r="L10" s="10">
        <v>44576</v>
      </c>
      <c r="Q10" s="3" t="s">
        <v>31</v>
      </c>
    </row>
    <row r="11" spans="1:27" x14ac:dyDescent="0.2">
      <c r="A11" s="3">
        <v>10</v>
      </c>
      <c r="B11" s="3">
        <v>9</v>
      </c>
      <c r="C11" s="3">
        <f>B11-A11</f>
        <v>-1</v>
      </c>
      <c r="D11" s="3" t="s">
        <v>54</v>
      </c>
      <c r="E11" s="3">
        <v>3</v>
      </c>
      <c r="F11" s="4">
        <v>348</v>
      </c>
      <c r="G11" s="5">
        <f>CEILING(F11/E11,1)</f>
        <v>116</v>
      </c>
      <c r="H11" s="3">
        <v>2</v>
      </c>
      <c r="I11" s="3">
        <v>1</v>
      </c>
      <c r="J11" s="5">
        <f>(H11/E11)*100</f>
        <v>66.666666666666657</v>
      </c>
      <c r="K11" s="5"/>
      <c r="L11" s="10">
        <v>44941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43</v>
      </c>
      <c r="E12" s="3">
        <v>2</v>
      </c>
      <c r="F12" s="4">
        <v>225</v>
      </c>
      <c r="G12" s="5">
        <f>CEILING(F12/E12,1)</f>
        <v>113</v>
      </c>
      <c r="H12" s="3">
        <v>1</v>
      </c>
      <c r="I12" s="3">
        <v>1</v>
      </c>
      <c r="J12" s="5">
        <f>(H12/E12)*100</f>
        <v>50</v>
      </c>
      <c r="K12" s="5"/>
      <c r="L12" s="10">
        <v>44885</v>
      </c>
    </row>
    <row r="13" spans="1:27" x14ac:dyDescent="0.2">
      <c r="A13" s="3">
        <v>12</v>
      </c>
      <c r="B13" s="3">
        <v>10</v>
      </c>
      <c r="C13" s="3">
        <f>B13-A13</f>
        <v>-2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142</v>
      </c>
      <c r="O13" s="6">
        <v>5</v>
      </c>
      <c r="X13" s="3">
        <v>85</v>
      </c>
      <c r="Y13" s="3">
        <v>-5</v>
      </c>
    </row>
    <row r="14" spans="1:27" x14ac:dyDescent="0.2">
      <c r="A14" s="3">
        <v>13</v>
      </c>
      <c r="B14" s="3">
        <v>12</v>
      </c>
      <c r="C14" s="3">
        <f>B14-A14</f>
        <v>-1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328</v>
      </c>
      <c r="O14" s="4">
        <v>275</v>
      </c>
    </row>
    <row r="15" spans="1:27" x14ac:dyDescent="0.2">
      <c r="A15" s="3">
        <v>14</v>
      </c>
      <c r="B15" s="3">
        <v>13</v>
      </c>
      <c r="C15" s="3">
        <f>B15-A15</f>
        <v>-1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470</v>
      </c>
      <c r="O15" s="13">
        <f>SUM(O13:O14)</f>
        <v>280</v>
      </c>
    </row>
    <row r="16" spans="1:27" x14ac:dyDescent="0.2">
      <c r="A16" s="3">
        <v>15</v>
      </c>
      <c r="B16" s="3">
        <v>14</v>
      </c>
      <c r="C16" s="3">
        <f>B16-A16</f>
        <v>-1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15</v>
      </c>
      <c r="C17" s="3">
        <f>B17-A17</f>
        <v>-1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18</v>
      </c>
      <c r="C18" s="3">
        <f>B18-A18</f>
        <v>1</v>
      </c>
      <c r="D18" s="3" t="s">
        <v>36</v>
      </c>
      <c r="E18" s="3">
        <v>15</v>
      </c>
      <c r="F18" s="4">
        <v>1492</v>
      </c>
      <c r="G18" s="5">
        <f>CEILING(F18/E18,1)</f>
        <v>100</v>
      </c>
      <c r="H18" s="3">
        <v>6</v>
      </c>
      <c r="I18" s="3">
        <v>9</v>
      </c>
      <c r="J18" s="5">
        <f>(H18/E18)*100</f>
        <v>40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17</v>
      </c>
      <c r="C19" s="3">
        <f>B19-A19</f>
        <v>-1</v>
      </c>
      <c r="D19" s="3" t="s">
        <v>37</v>
      </c>
      <c r="E19" s="3">
        <v>6</v>
      </c>
      <c r="F19" s="4">
        <v>579</v>
      </c>
      <c r="G19" s="5">
        <f>CEILING(F19/E19,1)</f>
        <v>97</v>
      </c>
      <c r="H19" s="3">
        <v>2</v>
      </c>
      <c r="I19" s="3">
        <v>4</v>
      </c>
      <c r="J19" s="5">
        <f>(H19/E19)*100</f>
        <v>33.333333333333329</v>
      </c>
      <c r="K19" s="5"/>
      <c r="L19" s="10">
        <v>44807</v>
      </c>
      <c r="N19" s="5"/>
    </row>
    <row r="20" spans="1:26" x14ac:dyDescent="0.2">
      <c r="A20" s="3">
        <v>19</v>
      </c>
      <c r="B20" s="3">
        <v>29</v>
      </c>
      <c r="C20" s="3">
        <f>B20-A20</f>
        <v>10</v>
      </c>
      <c r="D20" s="3" t="s">
        <v>39</v>
      </c>
      <c r="E20" s="3">
        <v>7</v>
      </c>
      <c r="F20" s="4">
        <v>620</v>
      </c>
      <c r="G20" s="5">
        <f>CEILING(F20/E20,1)</f>
        <v>89</v>
      </c>
      <c r="H20" s="3">
        <v>4</v>
      </c>
      <c r="I20" s="3">
        <v>3</v>
      </c>
      <c r="J20" s="5">
        <f>(H20/E20)*100</f>
        <v>57.142857142857139</v>
      </c>
      <c r="K20" s="5"/>
      <c r="L20" s="10">
        <v>45038</v>
      </c>
    </row>
    <row r="21" spans="1:26" x14ac:dyDescent="0.2">
      <c r="A21" s="3">
        <v>20</v>
      </c>
      <c r="B21" s="3">
        <v>19</v>
      </c>
      <c r="C21" s="3">
        <f>B21-A21</f>
        <v>-1</v>
      </c>
      <c r="D21" s="3" t="s">
        <v>33</v>
      </c>
      <c r="E21" s="3">
        <v>4</v>
      </c>
      <c r="F21" s="4">
        <v>328</v>
      </c>
      <c r="G21" s="5">
        <f>CEILING(F21/E21,1)</f>
        <v>82</v>
      </c>
      <c r="H21" s="3">
        <v>2</v>
      </c>
      <c r="I21" s="3">
        <v>2</v>
      </c>
      <c r="J21" s="5">
        <f>(H21/E21)*100</f>
        <v>50</v>
      </c>
      <c r="K21" s="5"/>
      <c r="L21" s="10">
        <v>44807</v>
      </c>
      <c r="N21" s="11" t="s">
        <v>30</v>
      </c>
      <c r="O21" s="10">
        <f ca="1">NOW()</f>
        <v>45046.756076967591</v>
      </c>
    </row>
    <row r="22" spans="1:26" x14ac:dyDescent="0.2">
      <c r="A22" s="3">
        <v>21</v>
      </c>
      <c r="B22" s="3">
        <v>20</v>
      </c>
      <c r="C22" s="3">
        <f>B22-A22</f>
        <v>-1</v>
      </c>
      <c r="D22" s="3" t="s">
        <v>58</v>
      </c>
      <c r="E22" s="3">
        <v>3</v>
      </c>
      <c r="F22" s="4">
        <v>230</v>
      </c>
      <c r="G22" s="5">
        <f>CEILING(F22/E22,1)</f>
        <v>77</v>
      </c>
      <c r="H22" s="3">
        <v>1</v>
      </c>
      <c r="I22" s="3">
        <v>2</v>
      </c>
      <c r="J22" s="5">
        <f>(H22/E22)*100</f>
        <v>33.333333333333329</v>
      </c>
      <c r="K22" s="5"/>
      <c r="L22" s="10">
        <v>44941</v>
      </c>
    </row>
    <row r="23" spans="1:26" x14ac:dyDescent="0.2">
      <c r="A23" s="3">
        <v>22</v>
      </c>
      <c r="B23" s="3">
        <v>5</v>
      </c>
      <c r="C23" s="3">
        <f>B23-A23</f>
        <v>-17</v>
      </c>
      <c r="D23" s="3" t="s">
        <v>47</v>
      </c>
      <c r="E23" s="3">
        <v>3</v>
      </c>
      <c r="F23" s="4">
        <v>220</v>
      </c>
      <c r="G23" s="5">
        <f>CEILING(F23/E23,1)</f>
        <v>74</v>
      </c>
      <c r="H23" s="3">
        <v>1</v>
      </c>
      <c r="I23" s="3">
        <v>2</v>
      </c>
      <c r="J23" s="5">
        <f>(H23/E23)*100</f>
        <v>33.333333333333329</v>
      </c>
      <c r="K23" s="5"/>
      <c r="L23" s="10">
        <v>45038</v>
      </c>
    </row>
    <row r="24" spans="1:26" x14ac:dyDescent="0.2">
      <c r="A24" s="3">
        <v>23</v>
      </c>
      <c r="B24" s="3">
        <v>25</v>
      </c>
      <c r="C24" s="3">
        <f>B24-A24</f>
        <v>2</v>
      </c>
      <c r="D24" s="3" t="s">
        <v>40</v>
      </c>
      <c r="E24" s="3">
        <v>4</v>
      </c>
      <c r="F24" s="4">
        <v>280</v>
      </c>
      <c r="G24" s="5">
        <f>CEILING(F24/E24,1)</f>
        <v>70</v>
      </c>
      <c r="H24" s="3">
        <v>1</v>
      </c>
      <c r="I24" s="3">
        <v>3</v>
      </c>
      <c r="J24" s="5">
        <f>(H24/E24)*100</f>
        <v>25</v>
      </c>
      <c r="K24" s="5"/>
      <c r="L24" s="10">
        <v>45045</v>
      </c>
    </row>
    <row r="25" spans="1:26" x14ac:dyDescent="0.2">
      <c r="A25" s="3">
        <v>24</v>
      </c>
      <c r="B25" s="3">
        <v>21</v>
      </c>
      <c r="C25" s="3">
        <f>B25-A25</f>
        <v>-3</v>
      </c>
      <c r="D25" s="3" t="s">
        <v>53</v>
      </c>
      <c r="E25" s="3">
        <v>7</v>
      </c>
      <c r="F25" s="4">
        <v>470</v>
      </c>
      <c r="G25" s="5">
        <f>CEILING(F25/E25,1)</f>
        <v>68</v>
      </c>
      <c r="H25" s="3">
        <v>3</v>
      </c>
      <c r="I25" s="3">
        <v>4</v>
      </c>
      <c r="J25" s="5">
        <f>(H25/E25)*100</f>
        <v>42.857142857142854</v>
      </c>
      <c r="K25" s="5"/>
      <c r="L25" s="10">
        <v>45045</v>
      </c>
    </row>
    <row r="26" spans="1:26" x14ac:dyDescent="0.2">
      <c r="A26" s="3">
        <v>25</v>
      </c>
      <c r="B26" s="3">
        <v>22</v>
      </c>
      <c r="C26" s="3">
        <f>B26-A26</f>
        <v>-3</v>
      </c>
      <c r="D26" s="3" t="s">
        <v>41</v>
      </c>
      <c r="E26" s="3">
        <v>1</v>
      </c>
      <c r="F26" s="4">
        <v>50</v>
      </c>
      <c r="G26" s="5">
        <f>CEILING(F26/E26,1)</f>
        <v>50</v>
      </c>
      <c r="H26" s="3">
        <v>0</v>
      </c>
      <c r="I26" s="3">
        <v>1</v>
      </c>
      <c r="J26" s="5">
        <f>(H26/E26)*100</f>
        <v>0</v>
      </c>
      <c r="K26" s="5"/>
      <c r="L26" s="10">
        <v>44835</v>
      </c>
    </row>
    <row r="27" spans="1:26" x14ac:dyDescent="0.2">
      <c r="A27" s="3">
        <v>26</v>
      </c>
      <c r="B27" s="3">
        <v>23</v>
      </c>
      <c r="C27" s="3">
        <f>B27-A27</f>
        <v>-3</v>
      </c>
      <c r="D27" s="3" t="s">
        <v>44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44836</v>
      </c>
    </row>
    <row r="28" spans="1:26" x14ac:dyDescent="0.2">
      <c r="A28" s="3">
        <v>27</v>
      </c>
      <c r="B28" s="3">
        <v>24</v>
      </c>
      <c r="C28" s="3">
        <f>B28-A28</f>
        <v>-3</v>
      </c>
      <c r="D28" s="3" t="s">
        <v>46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44723</v>
      </c>
    </row>
    <row r="29" spans="1:26" x14ac:dyDescent="0.2">
      <c r="A29" s="3">
        <v>28</v>
      </c>
      <c r="B29" s="3">
        <v>26</v>
      </c>
      <c r="C29" s="3">
        <f>B29-A29</f>
        <v>-2</v>
      </c>
      <c r="D29" s="3" t="s">
        <v>50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44843</v>
      </c>
    </row>
    <row r="30" spans="1:26" x14ac:dyDescent="0.2">
      <c r="A30" s="3">
        <v>29</v>
      </c>
      <c r="B30" s="3">
        <v>27</v>
      </c>
      <c r="C30" s="3">
        <f>B30-A30</f>
        <v>-2</v>
      </c>
      <c r="D30" s="3" t="s">
        <v>52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L30" s="10">
        <v>44849</v>
      </c>
    </row>
    <row r="31" spans="1:26" x14ac:dyDescent="0.2">
      <c r="A31" s="3">
        <v>30</v>
      </c>
      <c r="B31" s="3">
        <v>31</v>
      </c>
      <c r="C31" s="3">
        <f>B31-A31</f>
        <v>1</v>
      </c>
      <c r="D31" s="3" t="s">
        <v>60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K31" s="5"/>
      <c r="L31" s="10">
        <v>45018</v>
      </c>
    </row>
    <row r="32" spans="1:26" x14ac:dyDescent="0.2">
      <c r="A32" s="3">
        <v>31</v>
      </c>
      <c r="B32" s="3">
        <v>28</v>
      </c>
      <c r="C32" s="3">
        <f>B32-A32</f>
        <v>-3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2023-04-30T10:08:53Z</dcterms:modified>
</cp:coreProperties>
</file>